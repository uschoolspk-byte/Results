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4b89d8f5a3cedb0/Desktop/folder/data/"/>
    </mc:Choice>
  </mc:AlternateContent>
  <xr:revisionPtr revIDLastSave="18" documentId="11_F6A1F43F91D74A179400985AF493EAA9998EB2D8" xr6:coauthVersionLast="47" xr6:coauthVersionMax="47" xr10:uidLastSave="{1A9A624C-A8BA-438A-8350-25ABF0A68570}"/>
  <bookViews>
    <workbookView xWindow="-110" yWindow="-110" windowWidth="19420" windowHeight="10420" xr2:uid="{00000000-000D-0000-FFFF-FFFF00000000}"/>
  </bookViews>
  <sheets>
    <sheet name="Sheet2" sheetId="1" r:id="rId1"/>
    <sheet name="Sheet1" sheetId="2" r:id="rId2"/>
  </sheets>
  <definedNames>
    <definedName name="_xlnm._FilterDatabase" localSheetId="0" hidden="1">Sheet2!$A$1:$CA$68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69" i="1" l="1"/>
  <c r="AI69" i="1" s="1"/>
  <c r="AJ69" i="1" l="1"/>
  <c r="J69" i="1"/>
</calcChain>
</file>

<file path=xl/sharedStrings.xml><?xml version="1.0" encoding="utf-8"?>
<sst xmlns="http://schemas.openxmlformats.org/spreadsheetml/2006/main" count="1593" uniqueCount="308">
  <si>
    <t>Roll No</t>
  </si>
  <si>
    <t>Name</t>
  </si>
  <si>
    <t>Father Name</t>
  </si>
  <si>
    <t>Class</t>
  </si>
  <si>
    <t>Term</t>
  </si>
  <si>
    <t>Donor ID</t>
  </si>
  <si>
    <t>Donor Name</t>
  </si>
  <si>
    <t>Admission Date</t>
  </si>
  <si>
    <t>Session</t>
  </si>
  <si>
    <t>Remarks</t>
  </si>
  <si>
    <t>English</t>
  </si>
  <si>
    <t>Math</t>
  </si>
  <si>
    <t>Urdu</t>
  </si>
  <si>
    <t>Geography</t>
  </si>
  <si>
    <t>General Knowledge</t>
  </si>
  <si>
    <t>Science</t>
  </si>
  <si>
    <t>Islamiat Elective</t>
  </si>
  <si>
    <t>Islamiat</t>
  </si>
  <si>
    <t>Computer/Biology</t>
  </si>
  <si>
    <t>S.st</t>
  </si>
  <si>
    <t>Nazra</t>
  </si>
  <si>
    <t>Summer Task</t>
  </si>
  <si>
    <t>Chemistry</t>
  </si>
  <si>
    <t>Physics</t>
  </si>
  <si>
    <t>Homeconomics</t>
  </si>
  <si>
    <t>Statistics</t>
  </si>
  <si>
    <t>Pakistan Studies</t>
  </si>
  <si>
    <t>Tarjama-tul-Quran</t>
  </si>
  <si>
    <t>English (Oral)</t>
  </si>
  <si>
    <t>Math (Oral)</t>
  </si>
  <si>
    <t>Urdu (Oral)</t>
  </si>
  <si>
    <t>Drawing</t>
  </si>
  <si>
    <t>Tajveed</t>
  </si>
  <si>
    <t>Total</t>
  </si>
  <si>
    <t>Percentage</t>
  </si>
  <si>
    <t>Grade</t>
  </si>
  <si>
    <t/>
  </si>
  <si>
    <t>002466</t>
  </si>
  <si>
    <t xml:space="preserve">Alisha fatima </t>
  </si>
  <si>
    <t>Asghar Abbas</t>
  </si>
  <si>
    <t>P.G</t>
  </si>
  <si>
    <t>Final</t>
  </si>
  <si>
    <t>NA</t>
  </si>
  <si>
    <t xml:space="preserve">2025-26 </t>
  </si>
  <si>
    <t>Outstanding achievement! You are a shining star of our class.</t>
  </si>
  <si>
    <t>A+</t>
  </si>
  <si>
    <t>002467</t>
  </si>
  <si>
    <t>Manahil Asgahr</t>
  </si>
  <si>
    <t>002470</t>
  </si>
  <si>
    <t>Zain</t>
  </si>
  <si>
    <t>Hafeez Akhtar</t>
  </si>
  <si>
    <t>002506</t>
  </si>
  <si>
    <t>Hameed Ullah</t>
  </si>
  <si>
    <t>Riaz Gul</t>
  </si>
  <si>
    <t>2025-26</t>
  </si>
  <si>
    <t>002509</t>
  </si>
  <si>
    <t>Jamshad</t>
  </si>
  <si>
    <t>Muhammad Javed (Late)</t>
  </si>
  <si>
    <t>002508</t>
  </si>
  <si>
    <t xml:space="preserve">Hassan </t>
  </si>
  <si>
    <t>Nursery</t>
  </si>
  <si>
    <t>2026-01</t>
  </si>
  <si>
    <t>Ayesha Ashfaque</t>
  </si>
  <si>
    <t>002524</t>
  </si>
  <si>
    <t>Aman</t>
  </si>
  <si>
    <t xml:space="preserve">Amir khan </t>
  </si>
  <si>
    <t>002510</t>
  </si>
  <si>
    <t>Kiran</t>
  </si>
  <si>
    <t>2025-002</t>
  </si>
  <si>
    <t>Thanzeer Sharfudeen</t>
  </si>
  <si>
    <t>002528</t>
  </si>
  <si>
    <t>Maria</t>
  </si>
  <si>
    <t>Muhammad Siddique</t>
  </si>
  <si>
    <t>002436</t>
  </si>
  <si>
    <t>Momin</t>
  </si>
  <si>
    <t>Adnan Gujjar</t>
  </si>
  <si>
    <t>002526</t>
  </si>
  <si>
    <t>Shayan</t>
  </si>
  <si>
    <t>Rashid</t>
  </si>
  <si>
    <t>002531</t>
  </si>
  <si>
    <t>Huria Fatima</t>
  </si>
  <si>
    <t>002527</t>
  </si>
  <si>
    <t xml:space="preserve">Manahil </t>
  </si>
  <si>
    <t>K.G-II</t>
  </si>
  <si>
    <t>002504</t>
  </si>
  <si>
    <t xml:space="preserve">Umm-e-Hani                   </t>
  </si>
  <si>
    <t>Shahbaz Ahmad  (Late)</t>
  </si>
  <si>
    <t>002521</t>
  </si>
  <si>
    <t>Ayesha Noor</t>
  </si>
  <si>
    <t>Gul Muhammad</t>
  </si>
  <si>
    <t>002474</t>
  </si>
  <si>
    <t>Zoya</t>
  </si>
  <si>
    <t>Tariq Mehmood</t>
  </si>
  <si>
    <t>002452</t>
  </si>
  <si>
    <t>Saqib</t>
  </si>
  <si>
    <t>Hamid Khan</t>
  </si>
  <si>
    <t>We believe in you! Let's work together for a strong comeback.</t>
  </si>
  <si>
    <t>A</t>
  </si>
  <si>
    <t>002479</t>
  </si>
  <si>
    <t>Shair Ali</t>
  </si>
  <si>
    <t>Sajjad Ahmad</t>
  </si>
  <si>
    <t>002451</t>
  </si>
  <si>
    <t>Salman</t>
  </si>
  <si>
    <t>002454</t>
  </si>
  <si>
    <t>qasim</t>
  </si>
  <si>
    <t>Muhammad Zaman Shahzad</t>
  </si>
  <si>
    <t>Good effort! A little more focus will lead to better results.</t>
  </si>
  <si>
    <t>C</t>
  </si>
  <si>
    <t>002475</t>
  </si>
  <si>
    <t>Muhammad Faiq</t>
  </si>
  <si>
    <t>Ihsan-ul-Wahab</t>
  </si>
  <si>
    <t>Impressive work! Your dedication is truly paying off.</t>
  </si>
  <si>
    <t>002478</t>
  </si>
  <si>
    <t>Mehar ali</t>
  </si>
  <si>
    <t>FAIL</t>
  </si>
  <si>
    <t>002431</t>
  </si>
  <si>
    <t>Maira Abrar</t>
  </si>
  <si>
    <t>2024-006</t>
  </si>
  <si>
    <t>Usman Ashraf</t>
  </si>
  <si>
    <t>002519</t>
  </si>
  <si>
    <t>Muhammad Huzaifa</t>
  </si>
  <si>
    <t>Ghulam Shabeer</t>
  </si>
  <si>
    <t>002434</t>
  </si>
  <si>
    <t xml:space="preserve">Hamna </t>
  </si>
  <si>
    <t>002460</t>
  </si>
  <si>
    <t>Zimal Shoaib</t>
  </si>
  <si>
    <t>Shoaib Mustafa</t>
  </si>
  <si>
    <t>002465</t>
  </si>
  <si>
    <t>M.Hassnain</t>
  </si>
  <si>
    <t>Qammar Shahzad</t>
  </si>
  <si>
    <t>002469</t>
  </si>
  <si>
    <t>Muhammad Mustafa</t>
  </si>
  <si>
    <t>Well done! You have great potential to achieve even more.</t>
  </si>
  <si>
    <t>B</t>
  </si>
  <si>
    <t>002503</t>
  </si>
  <si>
    <t>Anabia Fatima</t>
  </si>
  <si>
    <t>Aftab Ishaq (Late)</t>
  </si>
  <si>
    <t>2025-005</t>
  </si>
  <si>
    <t>Khuram Mushtaq</t>
  </si>
  <si>
    <t>002408</t>
  </si>
  <si>
    <t xml:space="preserve">Muhammad Summar </t>
  </si>
  <si>
    <t>2024-003</t>
  </si>
  <si>
    <t>Saad Islam</t>
  </si>
  <si>
    <t>002473</t>
  </si>
  <si>
    <t>Muhammad Amar</t>
  </si>
  <si>
    <t>002505</t>
  </si>
  <si>
    <t>Ayeza Eman</t>
  </si>
  <si>
    <t>Waheed Ahmed</t>
  </si>
  <si>
    <t>002409</t>
  </si>
  <si>
    <t>Muhammad Ayan</t>
  </si>
  <si>
    <t>2024-005</t>
  </si>
  <si>
    <t>Nazim Qureshi</t>
  </si>
  <si>
    <t>16/03/2024</t>
  </si>
  <si>
    <t>002430</t>
  </si>
  <si>
    <t>Erum</t>
  </si>
  <si>
    <t>002429</t>
  </si>
  <si>
    <t>Zara</t>
  </si>
  <si>
    <t>Kamran Ali Satti</t>
  </si>
  <si>
    <t>002450</t>
  </si>
  <si>
    <t>Muhammad Ali</t>
  </si>
  <si>
    <t>Azhar Mehmood</t>
  </si>
  <si>
    <t>002464</t>
  </si>
  <si>
    <t>Waqar Un Nisa</t>
  </si>
  <si>
    <t>002402</t>
  </si>
  <si>
    <t>Umaima Noor</t>
  </si>
  <si>
    <t>Muhammad Sohail Satti (Late)</t>
  </si>
  <si>
    <t>2024-002</t>
  </si>
  <si>
    <t>Tayyab Riaz</t>
  </si>
  <si>
    <t>002419</t>
  </si>
  <si>
    <t>Zamin</t>
  </si>
  <si>
    <t>Mehmood Hussain</t>
  </si>
  <si>
    <t>002401</t>
  </si>
  <si>
    <t xml:space="preserve">Maryam Fatima              </t>
  </si>
  <si>
    <t>2024-001</t>
  </si>
  <si>
    <t>Mohammad Arsalan</t>
  </si>
  <si>
    <t>002423</t>
  </si>
  <si>
    <t xml:space="preserve"> Abdul Ahad</t>
  </si>
  <si>
    <t>Abdul Wajid</t>
  </si>
  <si>
    <t>002435</t>
  </si>
  <si>
    <t>Abdul Moeez</t>
  </si>
  <si>
    <t>002444</t>
  </si>
  <si>
    <t>Laraib Ozaib</t>
  </si>
  <si>
    <t>Ozaib Hussain</t>
  </si>
  <si>
    <t>002445</t>
  </si>
  <si>
    <t>Maheen Akhtar</t>
  </si>
  <si>
    <t>Naeem Akhtar</t>
  </si>
  <si>
    <t>002513</t>
  </si>
  <si>
    <t>Abdul Rahman</t>
  </si>
  <si>
    <t>Azam Shahzad  (Late)</t>
  </si>
  <si>
    <t>Shahzad Arsahad</t>
  </si>
  <si>
    <t>30/10/2025</t>
  </si>
  <si>
    <t>Don't lose heart! With extra hard work, you can improve.</t>
  </si>
  <si>
    <t>D</t>
  </si>
  <si>
    <t>002518</t>
  </si>
  <si>
    <t>Shawaiz</t>
  </si>
  <si>
    <t>Zahid</t>
  </si>
  <si>
    <t>002418</t>
  </si>
  <si>
    <t>002424</t>
  </si>
  <si>
    <t>Raja Awais</t>
  </si>
  <si>
    <t>Rashid Mehmood</t>
  </si>
  <si>
    <t>002428</t>
  </si>
  <si>
    <t>Eshal Fatima</t>
  </si>
  <si>
    <t>002437</t>
  </si>
  <si>
    <t>Huzaifa Farhan</t>
  </si>
  <si>
    <t>Raja Farhan Arshad</t>
  </si>
  <si>
    <t>002461</t>
  </si>
  <si>
    <t>Zakria</t>
  </si>
  <si>
    <t>Muhammad Ashraf</t>
  </si>
  <si>
    <t>002502</t>
  </si>
  <si>
    <t>Eman Fatima</t>
  </si>
  <si>
    <t>2024-004</t>
  </si>
  <si>
    <t>Omar Baig</t>
  </si>
  <si>
    <t>002427</t>
  </si>
  <si>
    <t>Makhad Abdullah</t>
  </si>
  <si>
    <t>002432</t>
  </si>
  <si>
    <t>Faizan Ali 6th</t>
  </si>
  <si>
    <t>Sajjad</t>
  </si>
  <si>
    <t>002512</t>
  </si>
  <si>
    <t>Asma Azam</t>
  </si>
  <si>
    <t>Ahsan Khalil</t>
  </si>
  <si>
    <t>002448</t>
  </si>
  <si>
    <t>Mudasir majeed</t>
  </si>
  <si>
    <t>Abdul Majeed</t>
  </si>
  <si>
    <t>002449</t>
  </si>
  <si>
    <t>002410</t>
  </si>
  <si>
    <t>Abubakar Shah</t>
  </si>
  <si>
    <t>Khaqaan Shah</t>
  </si>
  <si>
    <t>2024-007</t>
  </si>
  <si>
    <t>Muqadas Ismail</t>
  </si>
  <si>
    <t>002426</t>
  </si>
  <si>
    <t>Aiman</t>
  </si>
  <si>
    <t>002456</t>
  </si>
  <si>
    <t xml:space="preserve">Saad Ali </t>
  </si>
  <si>
    <t>Muhammad Asif Farooq</t>
  </si>
  <si>
    <t>002443</t>
  </si>
  <si>
    <t xml:space="preserve">zainab ibrar </t>
  </si>
  <si>
    <t>Abrar Ahmed</t>
  </si>
  <si>
    <t>002476</t>
  </si>
  <si>
    <t>Mahnoor Afrahim</t>
  </si>
  <si>
    <t>Muhammad Afrahim</t>
  </si>
  <si>
    <t>002501</t>
  </si>
  <si>
    <t>Zoha Fatima</t>
  </si>
  <si>
    <t>2025-001</t>
  </si>
  <si>
    <t>Dar Suhail</t>
  </si>
  <si>
    <t>002511</t>
  </si>
  <si>
    <t>Hafsa Azam</t>
  </si>
  <si>
    <t>2025-004</t>
  </si>
  <si>
    <t>Farhan Riaz</t>
  </si>
  <si>
    <t>30-10-2025</t>
  </si>
  <si>
    <t>002459</t>
  </si>
  <si>
    <t>Zoha Farhan</t>
  </si>
  <si>
    <t>Farhan Zaib</t>
  </si>
  <si>
    <t>002532</t>
  </si>
  <si>
    <t>Amir Shakeel</t>
  </si>
  <si>
    <t>Muhammad Shakeel Khan</t>
  </si>
  <si>
    <t>8 (Arts Group)</t>
  </si>
  <si>
    <t>002516</t>
  </si>
  <si>
    <t>Rubab Akhtar</t>
  </si>
  <si>
    <t>002529</t>
  </si>
  <si>
    <t>Noor Fatima</t>
  </si>
  <si>
    <t>002530</t>
  </si>
  <si>
    <t>Ayesha Saddiqa</t>
  </si>
  <si>
    <t>Tehfeez ul Quran (3rd)</t>
  </si>
  <si>
    <t>002416</t>
  </si>
  <si>
    <t>Azan  Ilyas</t>
  </si>
  <si>
    <t>Muhammad Ilyas</t>
  </si>
  <si>
    <t>Tehfeez ul Quran (8th)</t>
  </si>
  <si>
    <t>002417</t>
  </si>
  <si>
    <t xml:space="preserve">Hasam Ilyas  </t>
  </si>
  <si>
    <t>Tehfeez ul Quran (7th)</t>
  </si>
  <si>
    <t>002422</t>
  </si>
  <si>
    <t>Abdullah Imran</t>
  </si>
  <si>
    <t>Imran Khan</t>
  </si>
  <si>
    <t>Tehfeez ul Quran (6th)</t>
  </si>
  <si>
    <t>002411</t>
  </si>
  <si>
    <t xml:space="preserve">Daniyal Abbasi     </t>
  </si>
  <si>
    <t>Taimoor Ali Abbasi</t>
  </si>
  <si>
    <t>2024-010</t>
  </si>
  <si>
    <t>Salman Khalid</t>
  </si>
  <si>
    <t>Science Group</t>
  </si>
  <si>
    <t>Grade:1-2-3</t>
  </si>
  <si>
    <t>Grade: 4-5</t>
  </si>
  <si>
    <t>Grade: 6-7</t>
  </si>
  <si>
    <t>Grade: 8-9-</t>
  </si>
  <si>
    <t xml:space="preserve">Grade: 10th </t>
  </si>
  <si>
    <t>Pre School</t>
  </si>
  <si>
    <t xml:space="preserve">Tehfeez-ul-Quran </t>
  </si>
  <si>
    <t>Subject</t>
  </si>
  <si>
    <t>Quraan Pak</t>
  </si>
  <si>
    <t>Subjects</t>
  </si>
  <si>
    <t>Mathematics</t>
  </si>
  <si>
    <t>English (Written)</t>
  </si>
  <si>
    <t>Computer</t>
  </si>
  <si>
    <t>Math (Written)</t>
  </si>
  <si>
    <t xml:space="preserve">General Knowledge </t>
  </si>
  <si>
    <t xml:space="preserve">Science </t>
  </si>
  <si>
    <t>Islamyat</t>
  </si>
  <si>
    <t>Social Studies</t>
  </si>
  <si>
    <t>Urdu (Written)</t>
  </si>
  <si>
    <t>Ics</t>
  </si>
  <si>
    <t>Arts Group</t>
  </si>
  <si>
    <t>Grade: 11</t>
  </si>
  <si>
    <t>Grade: 10</t>
  </si>
  <si>
    <t>Genral Math</t>
  </si>
  <si>
    <t>Genral Science</t>
  </si>
  <si>
    <t>Islamyat Elective</t>
  </si>
  <si>
    <t>Homecnomics</t>
  </si>
  <si>
    <t>Tehfeez ul Quran (2nd)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</si>
</sst>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quotePrefix="1" applyBorder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75"/>
  <sheetViews>
    <sheetView tabSelected="1" zoomScale="61" workbookViewId="0">
      <selection activeCell="D69" sqref="D69"/>
    </sheetView>
  </sheetViews>
  <sheetFormatPr defaultRowHeight="15.5" x14ac:dyDescent="0.35"/>
  <cols>
    <col min="4" max="4" width="31.58203125" customWidth="1"/>
    <col min="10" max="10" width="54.58203125" customWidth="1"/>
  </cols>
  <sheetData>
    <row r="1" spans="1:8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36</v>
      </c>
      <c r="AM1" t="s">
        <v>36</v>
      </c>
      <c r="AN1" t="s">
        <v>36</v>
      </c>
      <c r="AO1" t="s">
        <v>36</v>
      </c>
      <c r="AP1" t="s">
        <v>36</v>
      </c>
      <c r="AQ1" t="s">
        <v>36</v>
      </c>
      <c r="AR1" t="s">
        <v>36</v>
      </c>
      <c r="AS1" t="s">
        <v>36</v>
      </c>
      <c r="AT1" t="s">
        <v>36</v>
      </c>
      <c r="AU1" t="s">
        <v>36</v>
      </c>
      <c r="AV1" t="s">
        <v>36</v>
      </c>
      <c r="AW1" t="s">
        <v>36</v>
      </c>
      <c r="AX1" t="s">
        <v>36</v>
      </c>
      <c r="AY1" t="s">
        <v>36</v>
      </c>
      <c r="AZ1" t="s">
        <v>36</v>
      </c>
      <c r="BA1" t="s">
        <v>36</v>
      </c>
      <c r="BB1" t="s">
        <v>36</v>
      </c>
      <c r="BC1" t="s">
        <v>36</v>
      </c>
      <c r="BD1" t="s">
        <v>36</v>
      </c>
      <c r="BE1" t="s">
        <v>36</v>
      </c>
      <c r="BF1" t="s">
        <v>36</v>
      </c>
      <c r="BG1" t="s">
        <v>36</v>
      </c>
      <c r="BH1" t="s">
        <v>36</v>
      </c>
      <c r="BI1" t="s">
        <v>36</v>
      </c>
      <c r="BJ1" t="s">
        <v>36</v>
      </c>
      <c r="BK1" t="s">
        <v>36</v>
      </c>
      <c r="BL1" t="s">
        <v>36</v>
      </c>
      <c r="BM1" t="s">
        <v>36</v>
      </c>
      <c r="BN1" t="s">
        <v>36</v>
      </c>
      <c r="BO1" t="s">
        <v>36</v>
      </c>
      <c r="BP1" t="s">
        <v>36</v>
      </c>
      <c r="BQ1" t="s">
        <v>36</v>
      </c>
      <c r="BR1" t="s">
        <v>36</v>
      </c>
      <c r="BS1" t="s">
        <v>36</v>
      </c>
      <c r="BT1" t="s">
        <v>36</v>
      </c>
      <c r="BU1" t="s">
        <v>36</v>
      </c>
      <c r="BV1" t="s">
        <v>36</v>
      </c>
      <c r="BW1" t="s">
        <v>36</v>
      </c>
      <c r="BX1" t="s">
        <v>36</v>
      </c>
      <c r="BY1" t="s">
        <v>36</v>
      </c>
      <c r="BZ1" t="s">
        <v>36</v>
      </c>
      <c r="CA1" t="s">
        <v>36</v>
      </c>
      <c r="CB1" t="s">
        <v>36</v>
      </c>
      <c r="CC1" t="s">
        <v>36</v>
      </c>
      <c r="CD1" t="s">
        <v>36</v>
      </c>
      <c r="CE1" t="s">
        <v>36</v>
      </c>
      <c r="CF1" t="s">
        <v>36</v>
      </c>
      <c r="CG1" t="s">
        <v>36</v>
      </c>
      <c r="CH1" t="s">
        <v>36</v>
      </c>
      <c r="CI1" t="s">
        <v>36</v>
      </c>
      <c r="CJ1" t="s">
        <v>36</v>
      </c>
    </row>
    <row r="2" spans="1:88" x14ac:dyDescent="0.35">
      <c r="A2" t="s">
        <v>37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42</v>
      </c>
      <c r="H2" t="s">
        <v>42</v>
      </c>
      <c r="I2" t="s">
        <v>43</v>
      </c>
      <c r="J2" t="s">
        <v>44</v>
      </c>
      <c r="K2">
        <v>49</v>
      </c>
      <c r="L2">
        <v>49</v>
      </c>
      <c r="M2">
        <v>49</v>
      </c>
      <c r="O2">
        <v>14</v>
      </c>
      <c r="U2">
        <v>8</v>
      </c>
      <c r="AC2">
        <v>24</v>
      </c>
      <c r="AD2">
        <v>23</v>
      </c>
      <c r="AE2">
        <v>23</v>
      </c>
      <c r="AF2">
        <v>19</v>
      </c>
      <c r="AH2">
        <v>258</v>
      </c>
      <c r="AI2">
        <v>93.818181818181827</v>
      </c>
      <c r="AJ2" t="s">
        <v>45</v>
      </c>
      <c r="CB2" t="s">
        <v>36</v>
      </c>
      <c r="CC2" t="s">
        <v>36</v>
      </c>
      <c r="CD2" t="s">
        <v>36</v>
      </c>
      <c r="CE2" t="s">
        <v>36</v>
      </c>
      <c r="CF2" t="s">
        <v>36</v>
      </c>
      <c r="CG2" t="s">
        <v>36</v>
      </c>
      <c r="CH2" t="s">
        <v>36</v>
      </c>
      <c r="CI2" t="s">
        <v>36</v>
      </c>
      <c r="CJ2" t="s">
        <v>36</v>
      </c>
    </row>
    <row r="3" spans="1:88" x14ac:dyDescent="0.35">
      <c r="A3" t="s">
        <v>46</v>
      </c>
      <c r="B3" t="s">
        <v>47</v>
      </c>
      <c r="C3" t="s">
        <v>39</v>
      </c>
      <c r="D3" t="s">
        <v>40</v>
      </c>
      <c r="E3" t="s">
        <v>41</v>
      </c>
      <c r="F3" t="s">
        <v>42</v>
      </c>
      <c r="G3" t="s">
        <v>42</v>
      </c>
      <c r="H3" t="s">
        <v>42</v>
      </c>
      <c r="I3" t="s">
        <v>43</v>
      </c>
      <c r="J3" t="s">
        <v>44</v>
      </c>
      <c r="K3">
        <v>50</v>
      </c>
      <c r="L3">
        <v>50</v>
      </c>
      <c r="M3">
        <v>48</v>
      </c>
      <c r="O3">
        <v>16</v>
      </c>
      <c r="U3">
        <v>7</v>
      </c>
      <c r="AC3">
        <v>24</v>
      </c>
      <c r="AD3">
        <v>24</v>
      </c>
      <c r="AE3">
        <v>22</v>
      </c>
      <c r="AF3">
        <v>20</v>
      </c>
      <c r="AH3">
        <v>261</v>
      </c>
      <c r="AI3">
        <v>94.909090909090907</v>
      </c>
      <c r="AJ3" t="s">
        <v>45</v>
      </c>
      <c r="CB3" t="s">
        <v>36</v>
      </c>
      <c r="CC3" t="s">
        <v>36</v>
      </c>
      <c r="CD3" t="s">
        <v>36</v>
      </c>
      <c r="CE3" t="s">
        <v>36</v>
      </c>
      <c r="CF3" t="s">
        <v>36</v>
      </c>
      <c r="CG3" t="s">
        <v>36</v>
      </c>
      <c r="CH3" t="s">
        <v>36</v>
      </c>
      <c r="CI3" t="s">
        <v>36</v>
      </c>
      <c r="CJ3" t="s">
        <v>36</v>
      </c>
    </row>
    <row r="4" spans="1:88" x14ac:dyDescent="0.35">
      <c r="A4" t="s">
        <v>48</v>
      </c>
      <c r="B4" t="s">
        <v>49</v>
      </c>
      <c r="C4" t="s">
        <v>50</v>
      </c>
      <c r="D4" t="s">
        <v>40</v>
      </c>
      <c r="E4" t="s">
        <v>41</v>
      </c>
      <c r="F4" t="s">
        <v>42</v>
      </c>
      <c r="G4" t="s">
        <v>42</v>
      </c>
      <c r="H4" t="s">
        <v>42</v>
      </c>
      <c r="I4" t="s">
        <v>43</v>
      </c>
      <c r="J4" t="s">
        <v>44</v>
      </c>
      <c r="K4">
        <v>49</v>
      </c>
      <c r="L4">
        <v>50</v>
      </c>
      <c r="M4">
        <v>45</v>
      </c>
      <c r="O4">
        <v>17</v>
      </c>
      <c r="U4">
        <v>9</v>
      </c>
      <c r="AC4">
        <v>25</v>
      </c>
      <c r="AD4">
        <v>25</v>
      </c>
      <c r="AE4">
        <v>25</v>
      </c>
      <c r="AF4">
        <v>19</v>
      </c>
      <c r="AH4">
        <v>264</v>
      </c>
      <c r="AI4">
        <v>96</v>
      </c>
      <c r="AJ4" t="s">
        <v>45</v>
      </c>
      <c r="CB4" t="s">
        <v>36</v>
      </c>
      <c r="CC4" t="s">
        <v>36</v>
      </c>
      <c r="CD4" t="s">
        <v>36</v>
      </c>
      <c r="CE4" t="s">
        <v>36</v>
      </c>
      <c r="CF4" t="s">
        <v>36</v>
      </c>
      <c r="CG4" t="s">
        <v>36</v>
      </c>
      <c r="CH4" t="s">
        <v>36</v>
      </c>
      <c r="CI4" t="s">
        <v>36</v>
      </c>
      <c r="CJ4" t="s">
        <v>36</v>
      </c>
    </row>
    <row r="5" spans="1:88" x14ac:dyDescent="0.35">
      <c r="A5" t="s">
        <v>51</v>
      </c>
      <c r="B5" t="s">
        <v>52</v>
      </c>
      <c r="C5" t="s">
        <v>53</v>
      </c>
      <c r="D5" t="s">
        <v>40</v>
      </c>
      <c r="E5" t="s">
        <v>41</v>
      </c>
      <c r="F5" t="s">
        <v>42</v>
      </c>
      <c r="G5" t="s">
        <v>42</v>
      </c>
      <c r="H5" t="s">
        <v>42</v>
      </c>
      <c r="I5" t="s">
        <v>54</v>
      </c>
      <c r="J5" t="s">
        <v>44</v>
      </c>
      <c r="K5">
        <v>45</v>
      </c>
      <c r="L5">
        <v>44</v>
      </c>
      <c r="M5">
        <v>43</v>
      </c>
      <c r="O5">
        <v>13</v>
      </c>
      <c r="U5">
        <v>7</v>
      </c>
      <c r="AC5">
        <v>23</v>
      </c>
      <c r="AD5">
        <v>20</v>
      </c>
      <c r="AE5">
        <v>20</v>
      </c>
      <c r="AF5">
        <v>19</v>
      </c>
      <c r="AH5">
        <v>234</v>
      </c>
      <c r="AI5">
        <v>85.090909090909093</v>
      </c>
      <c r="AJ5" t="s">
        <v>45</v>
      </c>
      <c r="CB5" t="s">
        <v>36</v>
      </c>
      <c r="CC5" t="s">
        <v>36</v>
      </c>
      <c r="CD5" t="s">
        <v>36</v>
      </c>
      <c r="CE5" t="s">
        <v>36</v>
      </c>
      <c r="CF5" t="s">
        <v>36</v>
      </c>
      <c r="CG5" t="s">
        <v>36</v>
      </c>
      <c r="CH5" t="s">
        <v>36</v>
      </c>
      <c r="CI5" t="s">
        <v>36</v>
      </c>
      <c r="CJ5" t="s">
        <v>36</v>
      </c>
    </row>
    <row r="6" spans="1:88" x14ac:dyDescent="0.35">
      <c r="A6" t="s">
        <v>55</v>
      </c>
      <c r="B6" t="s">
        <v>56</v>
      </c>
      <c r="C6" t="s">
        <v>57</v>
      </c>
      <c r="D6" t="s">
        <v>40</v>
      </c>
      <c r="E6" t="s">
        <v>41</v>
      </c>
      <c r="F6" t="s">
        <v>42</v>
      </c>
      <c r="G6" t="s">
        <v>42</v>
      </c>
      <c r="H6">
        <v>45666</v>
      </c>
      <c r="I6" t="s">
        <v>54</v>
      </c>
      <c r="J6" t="s">
        <v>44</v>
      </c>
      <c r="K6">
        <v>44</v>
      </c>
      <c r="L6">
        <v>47</v>
      </c>
      <c r="M6">
        <v>46</v>
      </c>
      <c r="O6">
        <v>15</v>
      </c>
      <c r="U6">
        <v>8</v>
      </c>
      <c r="AC6">
        <v>22</v>
      </c>
      <c r="AD6">
        <v>20</v>
      </c>
      <c r="AE6">
        <v>23</v>
      </c>
      <c r="AF6">
        <v>18</v>
      </c>
      <c r="AH6">
        <v>243</v>
      </c>
      <c r="AI6">
        <v>88.36363636363636</v>
      </c>
      <c r="AJ6" t="s">
        <v>45</v>
      </c>
      <c r="CB6" t="s">
        <v>36</v>
      </c>
      <c r="CC6" t="s">
        <v>36</v>
      </c>
      <c r="CD6" t="s">
        <v>36</v>
      </c>
      <c r="CE6" t="s">
        <v>36</v>
      </c>
      <c r="CF6" t="s">
        <v>36</v>
      </c>
      <c r="CG6" t="s">
        <v>36</v>
      </c>
      <c r="CH6" t="s">
        <v>36</v>
      </c>
      <c r="CI6" t="s">
        <v>36</v>
      </c>
      <c r="CJ6" t="s">
        <v>36</v>
      </c>
    </row>
    <row r="7" spans="1:88" x14ac:dyDescent="0.35">
      <c r="A7" t="s">
        <v>58</v>
      </c>
      <c r="B7" t="s">
        <v>59</v>
      </c>
      <c r="C7" t="s">
        <v>57</v>
      </c>
      <c r="D7" t="s">
        <v>60</v>
      </c>
      <c r="E7" t="s">
        <v>41</v>
      </c>
      <c r="F7" t="s">
        <v>61</v>
      </c>
      <c r="G7" t="s">
        <v>62</v>
      </c>
      <c r="H7">
        <v>45666</v>
      </c>
      <c r="I7" t="s">
        <v>54</v>
      </c>
      <c r="J7" t="s">
        <v>44</v>
      </c>
      <c r="K7">
        <v>42</v>
      </c>
      <c r="L7">
        <v>43</v>
      </c>
      <c r="M7">
        <v>44</v>
      </c>
      <c r="O7">
        <v>14</v>
      </c>
      <c r="U7">
        <v>6</v>
      </c>
      <c r="AC7">
        <v>21</v>
      </c>
      <c r="AD7">
        <v>20</v>
      </c>
      <c r="AE7">
        <v>22</v>
      </c>
      <c r="AF7">
        <v>19</v>
      </c>
      <c r="AH7">
        <v>231</v>
      </c>
      <c r="AI7">
        <v>84</v>
      </c>
      <c r="AJ7" t="s">
        <v>45</v>
      </c>
      <c r="CB7" t="s">
        <v>36</v>
      </c>
      <c r="CC7" t="s">
        <v>36</v>
      </c>
      <c r="CD7" t="s">
        <v>36</v>
      </c>
      <c r="CE7" t="s">
        <v>36</v>
      </c>
      <c r="CF7" t="s">
        <v>36</v>
      </c>
      <c r="CG7" t="s">
        <v>36</v>
      </c>
      <c r="CH7" t="s">
        <v>36</v>
      </c>
      <c r="CI7" t="s">
        <v>36</v>
      </c>
      <c r="CJ7" t="s">
        <v>36</v>
      </c>
    </row>
    <row r="8" spans="1:88" x14ac:dyDescent="0.35">
      <c r="A8" t="s">
        <v>63</v>
      </c>
      <c r="B8" t="s">
        <v>64</v>
      </c>
      <c r="C8" t="s">
        <v>65</v>
      </c>
      <c r="D8" t="s">
        <v>60</v>
      </c>
      <c r="E8" t="s">
        <v>41</v>
      </c>
      <c r="F8" t="s">
        <v>42</v>
      </c>
      <c r="G8" t="s">
        <v>42</v>
      </c>
      <c r="H8" t="s">
        <v>42</v>
      </c>
      <c r="I8" t="s">
        <v>54</v>
      </c>
      <c r="J8" t="s">
        <v>44</v>
      </c>
      <c r="K8">
        <v>49</v>
      </c>
      <c r="L8">
        <v>47</v>
      </c>
      <c r="M8">
        <v>47</v>
      </c>
      <c r="O8">
        <v>18</v>
      </c>
      <c r="U8">
        <v>8</v>
      </c>
      <c r="AC8">
        <v>24</v>
      </c>
      <c r="AD8">
        <v>23</v>
      </c>
      <c r="AE8">
        <v>23</v>
      </c>
      <c r="AF8">
        <v>20</v>
      </c>
      <c r="AH8">
        <v>259</v>
      </c>
      <c r="AI8">
        <v>94.181818181818173</v>
      </c>
      <c r="AJ8" t="s">
        <v>45</v>
      </c>
      <c r="CB8" t="s">
        <v>36</v>
      </c>
      <c r="CC8" t="s">
        <v>36</v>
      </c>
      <c r="CD8" t="s">
        <v>36</v>
      </c>
      <c r="CE8" t="s">
        <v>36</v>
      </c>
      <c r="CF8" t="s">
        <v>36</v>
      </c>
      <c r="CG8" t="s">
        <v>36</v>
      </c>
      <c r="CH8" t="s">
        <v>36</v>
      </c>
      <c r="CI8" t="s">
        <v>36</v>
      </c>
      <c r="CJ8" t="s">
        <v>36</v>
      </c>
    </row>
    <row r="9" spans="1:88" x14ac:dyDescent="0.35">
      <c r="A9" t="s">
        <v>66</v>
      </c>
      <c r="B9" t="s">
        <v>67</v>
      </c>
      <c r="C9" t="s">
        <v>57</v>
      </c>
      <c r="D9" t="s">
        <v>60</v>
      </c>
      <c r="E9" t="s">
        <v>41</v>
      </c>
      <c r="F9" t="s">
        <v>68</v>
      </c>
      <c r="G9" t="s">
        <v>69</v>
      </c>
      <c r="H9">
        <v>45666</v>
      </c>
      <c r="I9" t="s">
        <v>54</v>
      </c>
      <c r="J9" t="s">
        <v>44</v>
      </c>
      <c r="K9">
        <v>45</v>
      </c>
      <c r="L9">
        <v>46</v>
      </c>
      <c r="M9">
        <v>44</v>
      </c>
      <c r="O9">
        <v>17</v>
      </c>
      <c r="U9">
        <v>7</v>
      </c>
      <c r="AC9">
        <v>23</v>
      </c>
      <c r="AD9">
        <v>22</v>
      </c>
      <c r="AE9">
        <v>21</v>
      </c>
      <c r="AF9">
        <v>20</v>
      </c>
      <c r="AH9">
        <v>245</v>
      </c>
      <c r="AI9">
        <v>89.090909090909093</v>
      </c>
      <c r="AJ9" t="s">
        <v>45</v>
      </c>
      <c r="CB9" t="s">
        <v>36</v>
      </c>
      <c r="CC9" t="s">
        <v>36</v>
      </c>
      <c r="CD9" t="s">
        <v>36</v>
      </c>
      <c r="CE9" t="s">
        <v>36</v>
      </c>
      <c r="CF9" t="s">
        <v>36</v>
      </c>
      <c r="CG9" t="s">
        <v>36</v>
      </c>
      <c r="CH9" t="s">
        <v>36</v>
      </c>
      <c r="CI9" t="s">
        <v>36</v>
      </c>
      <c r="CJ9" t="s">
        <v>36</v>
      </c>
    </row>
    <row r="10" spans="1:88" x14ac:dyDescent="0.35">
      <c r="A10" t="s">
        <v>70</v>
      </c>
      <c r="B10" t="s">
        <v>71</v>
      </c>
      <c r="C10" t="s">
        <v>72</v>
      </c>
      <c r="D10" t="s">
        <v>60</v>
      </c>
      <c r="E10" t="s">
        <v>41</v>
      </c>
      <c r="F10" t="s">
        <v>42</v>
      </c>
      <c r="G10" t="s">
        <v>42</v>
      </c>
      <c r="H10" t="s">
        <v>42</v>
      </c>
      <c r="I10" t="s">
        <v>54</v>
      </c>
      <c r="J10" t="s">
        <v>44</v>
      </c>
      <c r="K10">
        <v>50</v>
      </c>
      <c r="L10">
        <v>50</v>
      </c>
      <c r="M10">
        <v>49</v>
      </c>
      <c r="O10">
        <v>19</v>
      </c>
      <c r="U10">
        <v>9</v>
      </c>
      <c r="AC10">
        <v>25</v>
      </c>
      <c r="AD10">
        <v>25</v>
      </c>
      <c r="AE10">
        <v>24</v>
      </c>
      <c r="AF10">
        <v>20</v>
      </c>
      <c r="AH10">
        <v>271</v>
      </c>
      <c r="AI10">
        <v>98.545454545454547</v>
      </c>
      <c r="AJ10" t="s">
        <v>45</v>
      </c>
      <c r="CB10" t="s">
        <v>36</v>
      </c>
      <c r="CC10" t="s">
        <v>36</v>
      </c>
      <c r="CD10" t="s">
        <v>36</v>
      </c>
      <c r="CE10" t="s">
        <v>36</v>
      </c>
      <c r="CF10" t="s">
        <v>36</v>
      </c>
      <c r="CG10" t="s">
        <v>36</v>
      </c>
      <c r="CH10" t="s">
        <v>36</v>
      </c>
      <c r="CI10" t="s">
        <v>36</v>
      </c>
      <c r="CJ10" t="s">
        <v>36</v>
      </c>
    </row>
    <row r="11" spans="1:88" x14ac:dyDescent="0.35">
      <c r="A11" t="s">
        <v>73</v>
      </c>
      <c r="B11" t="s">
        <v>74</v>
      </c>
      <c r="C11" t="s">
        <v>75</v>
      </c>
      <c r="D11" t="s">
        <v>60</v>
      </c>
      <c r="E11" t="s">
        <v>41</v>
      </c>
      <c r="F11" t="s">
        <v>42</v>
      </c>
      <c r="G11" t="s">
        <v>42</v>
      </c>
      <c r="H11" t="s">
        <v>42</v>
      </c>
      <c r="I11" t="s">
        <v>54</v>
      </c>
      <c r="J11" t="s">
        <v>44</v>
      </c>
      <c r="K11">
        <v>49</v>
      </c>
      <c r="L11">
        <v>49.5</v>
      </c>
      <c r="M11">
        <v>47</v>
      </c>
      <c r="O11">
        <v>20</v>
      </c>
      <c r="U11">
        <v>10</v>
      </c>
      <c r="AC11">
        <v>25</v>
      </c>
      <c r="AD11">
        <v>24</v>
      </c>
      <c r="AE11">
        <v>25</v>
      </c>
      <c r="AF11">
        <v>19</v>
      </c>
      <c r="AH11">
        <v>268.5</v>
      </c>
      <c r="AI11">
        <v>97.636363636363626</v>
      </c>
      <c r="AJ11" t="s">
        <v>45</v>
      </c>
      <c r="CB11" t="s">
        <v>36</v>
      </c>
      <c r="CC11" t="s">
        <v>36</v>
      </c>
      <c r="CD11" t="s">
        <v>36</v>
      </c>
      <c r="CE11" t="s">
        <v>36</v>
      </c>
      <c r="CF11" t="s">
        <v>36</v>
      </c>
      <c r="CG11" t="s">
        <v>36</v>
      </c>
      <c r="CH11" t="s">
        <v>36</v>
      </c>
      <c r="CI11" t="s">
        <v>36</v>
      </c>
      <c r="CJ11" t="s">
        <v>36</v>
      </c>
    </row>
    <row r="12" spans="1:88" x14ac:dyDescent="0.35">
      <c r="A12" t="s">
        <v>76</v>
      </c>
      <c r="B12" t="s">
        <v>77</v>
      </c>
      <c r="C12" t="s">
        <v>78</v>
      </c>
      <c r="D12" t="s">
        <v>60</v>
      </c>
      <c r="E12" t="s">
        <v>41</v>
      </c>
      <c r="F12" t="s">
        <v>42</v>
      </c>
      <c r="G12" t="s">
        <v>42</v>
      </c>
      <c r="H12" t="s">
        <v>42</v>
      </c>
      <c r="I12" t="s">
        <v>54</v>
      </c>
      <c r="J12" t="s">
        <v>44</v>
      </c>
      <c r="K12">
        <v>48</v>
      </c>
      <c r="L12">
        <v>47</v>
      </c>
      <c r="M12">
        <v>39</v>
      </c>
      <c r="O12">
        <v>16</v>
      </c>
      <c r="U12">
        <v>7</v>
      </c>
      <c r="AC12">
        <v>23</v>
      </c>
      <c r="AD12">
        <v>22</v>
      </c>
      <c r="AE12">
        <v>22</v>
      </c>
      <c r="AF12">
        <v>20</v>
      </c>
      <c r="AH12">
        <v>244</v>
      </c>
      <c r="AI12">
        <v>88.727272727272734</v>
      </c>
      <c r="AJ12" t="s">
        <v>45</v>
      </c>
      <c r="CB12" t="s">
        <v>36</v>
      </c>
      <c r="CC12" t="s">
        <v>36</v>
      </c>
      <c r="CD12" t="s">
        <v>36</v>
      </c>
      <c r="CE12" t="s">
        <v>36</v>
      </c>
      <c r="CF12" t="s">
        <v>36</v>
      </c>
      <c r="CG12" t="s">
        <v>36</v>
      </c>
      <c r="CH12" t="s">
        <v>36</v>
      </c>
      <c r="CI12" t="s">
        <v>36</v>
      </c>
      <c r="CJ12" t="s">
        <v>36</v>
      </c>
    </row>
    <row r="13" spans="1:88" x14ac:dyDescent="0.35">
      <c r="A13" t="s">
        <v>79</v>
      </c>
      <c r="B13" t="s">
        <v>80</v>
      </c>
      <c r="D13" t="s">
        <v>60</v>
      </c>
      <c r="E13" t="s">
        <v>41</v>
      </c>
      <c r="F13" t="s">
        <v>42</v>
      </c>
      <c r="G13" t="s">
        <v>42</v>
      </c>
      <c r="H13" t="s">
        <v>42</v>
      </c>
      <c r="I13" t="s">
        <v>54</v>
      </c>
      <c r="J13" t="s">
        <v>44</v>
      </c>
      <c r="K13">
        <v>43</v>
      </c>
      <c r="L13">
        <v>34</v>
      </c>
      <c r="M13">
        <v>42</v>
      </c>
      <c r="O13">
        <v>18</v>
      </c>
      <c r="U13">
        <v>9</v>
      </c>
      <c r="AC13">
        <v>22</v>
      </c>
      <c r="AD13">
        <v>20</v>
      </c>
      <c r="AE13">
        <v>21</v>
      </c>
      <c r="AF13">
        <v>19</v>
      </c>
      <c r="AH13">
        <v>228</v>
      </c>
      <c r="AI13">
        <v>82.909090909090907</v>
      </c>
      <c r="AJ13" t="s">
        <v>45</v>
      </c>
      <c r="CB13" t="s">
        <v>36</v>
      </c>
      <c r="CC13" t="s">
        <v>36</v>
      </c>
      <c r="CD13" t="s">
        <v>36</v>
      </c>
      <c r="CE13" t="s">
        <v>36</v>
      </c>
      <c r="CF13" t="s">
        <v>36</v>
      </c>
      <c r="CG13" t="s">
        <v>36</v>
      </c>
      <c r="CH13" t="s">
        <v>36</v>
      </c>
      <c r="CI13" t="s">
        <v>36</v>
      </c>
      <c r="CJ13" t="s">
        <v>36</v>
      </c>
    </row>
    <row r="14" spans="1:88" x14ac:dyDescent="0.35">
      <c r="A14" t="s">
        <v>81</v>
      </c>
      <c r="B14" t="s">
        <v>82</v>
      </c>
      <c r="C14" t="s">
        <v>78</v>
      </c>
      <c r="D14" t="s">
        <v>83</v>
      </c>
      <c r="E14" t="s">
        <v>41</v>
      </c>
      <c r="F14" t="s">
        <v>42</v>
      </c>
      <c r="G14" t="s">
        <v>42</v>
      </c>
      <c r="H14" t="s">
        <v>42</v>
      </c>
      <c r="I14" t="s">
        <v>54</v>
      </c>
      <c r="J14" t="s">
        <v>44</v>
      </c>
      <c r="K14">
        <v>47</v>
      </c>
      <c r="L14">
        <v>48</v>
      </c>
      <c r="M14">
        <v>47</v>
      </c>
      <c r="O14">
        <v>18</v>
      </c>
      <c r="U14">
        <v>8</v>
      </c>
      <c r="AC14">
        <v>24</v>
      </c>
      <c r="AD14">
        <v>24</v>
      </c>
      <c r="AE14">
        <v>24</v>
      </c>
      <c r="AF14">
        <v>19.5</v>
      </c>
      <c r="AH14">
        <v>259.5</v>
      </c>
      <c r="AI14">
        <v>94.36363636363636</v>
      </c>
      <c r="AJ14" t="s">
        <v>45</v>
      </c>
      <c r="CB14" t="s">
        <v>36</v>
      </c>
      <c r="CC14" t="s">
        <v>36</v>
      </c>
      <c r="CD14" t="s">
        <v>36</v>
      </c>
      <c r="CE14" t="s">
        <v>36</v>
      </c>
      <c r="CF14" t="s">
        <v>36</v>
      </c>
      <c r="CG14" t="s">
        <v>36</v>
      </c>
      <c r="CH14" t="s">
        <v>36</v>
      </c>
      <c r="CI14" t="s">
        <v>36</v>
      </c>
      <c r="CJ14" t="s">
        <v>36</v>
      </c>
    </row>
    <row r="15" spans="1:88" x14ac:dyDescent="0.35">
      <c r="A15" t="s">
        <v>84</v>
      </c>
      <c r="B15" t="s">
        <v>85</v>
      </c>
      <c r="C15" t="s">
        <v>86</v>
      </c>
      <c r="D15" t="s">
        <v>83</v>
      </c>
      <c r="E15" t="s">
        <v>41</v>
      </c>
      <c r="F15" t="s">
        <v>42</v>
      </c>
      <c r="G15" t="s">
        <v>42</v>
      </c>
      <c r="H15">
        <v>45873</v>
      </c>
      <c r="I15" t="s">
        <v>54</v>
      </c>
      <c r="J15" t="s">
        <v>44</v>
      </c>
      <c r="K15">
        <v>48</v>
      </c>
      <c r="L15">
        <v>47</v>
      </c>
      <c r="M15">
        <v>49</v>
      </c>
      <c r="O15">
        <v>18</v>
      </c>
      <c r="U15">
        <v>7</v>
      </c>
      <c r="AC15">
        <v>25</v>
      </c>
      <c r="AD15">
        <v>25</v>
      </c>
      <c r="AE15">
        <v>25</v>
      </c>
      <c r="AF15">
        <v>19.5</v>
      </c>
      <c r="AH15">
        <v>263.5</v>
      </c>
      <c r="AI15">
        <v>95.818181818181813</v>
      </c>
      <c r="AJ15" t="s">
        <v>45</v>
      </c>
      <c r="CB15" t="s">
        <v>36</v>
      </c>
      <c r="CC15" t="s">
        <v>36</v>
      </c>
      <c r="CD15" t="s">
        <v>36</v>
      </c>
      <c r="CE15" t="s">
        <v>36</v>
      </c>
      <c r="CF15" t="s">
        <v>36</v>
      </c>
      <c r="CG15" t="s">
        <v>36</v>
      </c>
      <c r="CH15" t="s">
        <v>36</v>
      </c>
      <c r="CI15" t="s">
        <v>36</v>
      </c>
      <c r="CJ15" t="s">
        <v>36</v>
      </c>
    </row>
    <row r="16" spans="1:88" x14ac:dyDescent="0.35">
      <c r="A16" t="s">
        <v>87</v>
      </c>
      <c r="B16" t="s">
        <v>88</v>
      </c>
      <c r="C16" t="s">
        <v>89</v>
      </c>
      <c r="D16" t="s">
        <v>83</v>
      </c>
      <c r="E16" t="s">
        <v>41</v>
      </c>
      <c r="F16" t="s">
        <v>42</v>
      </c>
      <c r="G16" t="s">
        <v>42</v>
      </c>
      <c r="H16" t="s">
        <v>42</v>
      </c>
      <c r="I16" t="s">
        <v>54</v>
      </c>
      <c r="J16" t="s">
        <v>44</v>
      </c>
      <c r="K16">
        <v>48</v>
      </c>
      <c r="L16">
        <v>49</v>
      </c>
      <c r="M16">
        <v>48</v>
      </c>
      <c r="O16">
        <v>18</v>
      </c>
      <c r="U16">
        <v>8</v>
      </c>
      <c r="AC16">
        <v>25</v>
      </c>
      <c r="AD16">
        <v>24</v>
      </c>
      <c r="AE16">
        <v>24</v>
      </c>
      <c r="AF16">
        <v>20</v>
      </c>
      <c r="AH16">
        <v>264</v>
      </c>
      <c r="AI16">
        <v>96</v>
      </c>
      <c r="AJ16" t="s">
        <v>45</v>
      </c>
      <c r="CB16" t="s">
        <v>36</v>
      </c>
      <c r="CC16" t="s">
        <v>36</v>
      </c>
      <c r="CD16" t="s">
        <v>36</v>
      </c>
      <c r="CE16" t="s">
        <v>36</v>
      </c>
      <c r="CF16" t="s">
        <v>36</v>
      </c>
      <c r="CG16" t="s">
        <v>36</v>
      </c>
      <c r="CH16" t="s">
        <v>36</v>
      </c>
      <c r="CI16" t="s">
        <v>36</v>
      </c>
      <c r="CJ16" t="s">
        <v>36</v>
      </c>
    </row>
    <row r="17" spans="1:88" x14ac:dyDescent="0.35">
      <c r="A17" t="s">
        <v>90</v>
      </c>
      <c r="B17" t="s">
        <v>91</v>
      </c>
      <c r="C17" t="s">
        <v>92</v>
      </c>
      <c r="D17" t="s">
        <v>83</v>
      </c>
      <c r="E17" t="s">
        <v>41</v>
      </c>
      <c r="F17" t="s">
        <v>42</v>
      </c>
      <c r="G17" t="s">
        <v>42</v>
      </c>
      <c r="H17" t="s">
        <v>42</v>
      </c>
      <c r="I17" t="s">
        <v>54</v>
      </c>
      <c r="J17" t="s">
        <v>44</v>
      </c>
      <c r="K17">
        <v>46</v>
      </c>
      <c r="L17">
        <v>41</v>
      </c>
      <c r="M17">
        <v>38</v>
      </c>
      <c r="O17">
        <v>15</v>
      </c>
      <c r="U17">
        <v>8</v>
      </c>
      <c r="AC17">
        <v>24</v>
      </c>
      <c r="AD17">
        <v>23</v>
      </c>
      <c r="AE17">
        <v>21</v>
      </c>
      <c r="AF17">
        <v>18.5</v>
      </c>
      <c r="AH17">
        <v>234.5</v>
      </c>
      <c r="AI17">
        <v>85.27272727272728</v>
      </c>
      <c r="AJ17" t="s">
        <v>45</v>
      </c>
      <c r="CB17" t="s">
        <v>36</v>
      </c>
      <c r="CC17" t="s">
        <v>36</v>
      </c>
      <c r="CD17" t="s">
        <v>36</v>
      </c>
      <c r="CE17" t="s">
        <v>36</v>
      </c>
      <c r="CF17" t="s">
        <v>36</v>
      </c>
      <c r="CG17" t="s">
        <v>36</v>
      </c>
      <c r="CH17" t="s">
        <v>36</v>
      </c>
      <c r="CI17" t="s">
        <v>36</v>
      </c>
      <c r="CJ17" t="s">
        <v>36</v>
      </c>
    </row>
    <row r="18" spans="1:88" x14ac:dyDescent="0.35">
      <c r="A18" t="s">
        <v>93</v>
      </c>
      <c r="B18" t="s">
        <v>94</v>
      </c>
      <c r="C18" t="s">
        <v>95</v>
      </c>
      <c r="D18" t="s">
        <v>83</v>
      </c>
      <c r="E18" t="s">
        <v>41</v>
      </c>
      <c r="F18" t="s">
        <v>42</v>
      </c>
      <c r="G18" t="s">
        <v>42</v>
      </c>
      <c r="H18" t="s">
        <v>42</v>
      </c>
      <c r="I18" t="s">
        <v>54</v>
      </c>
      <c r="J18" t="s">
        <v>96</v>
      </c>
      <c r="K18" t="s">
        <v>97</v>
      </c>
      <c r="L18" t="s">
        <v>97</v>
      </c>
      <c r="M18" t="s">
        <v>97</v>
      </c>
      <c r="O18" t="s">
        <v>97</v>
      </c>
      <c r="U18" t="s">
        <v>97</v>
      </c>
      <c r="AC18" t="s">
        <v>97</v>
      </c>
      <c r="AD18" t="s">
        <v>97</v>
      </c>
      <c r="AE18" t="s">
        <v>97</v>
      </c>
      <c r="AF18" t="s">
        <v>97</v>
      </c>
      <c r="AH18">
        <v>0</v>
      </c>
      <c r="AI18">
        <v>0</v>
      </c>
      <c r="AJ18" t="s">
        <v>45</v>
      </c>
      <c r="CB18" t="s">
        <v>36</v>
      </c>
      <c r="CC18" t="s">
        <v>36</v>
      </c>
      <c r="CD18" t="s">
        <v>36</v>
      </c>
      <c r="CE18" t="s">
        <v>36</v>
      </c>
      <c r="CF18" t="s">
        <v>36</v>
      </c>
      <c r="CG18" t="s">
        <v>36</v>
      </c>
      <c r="CH18" t="s">
        <v>36</v>
      </c>
      <c r="CI18" t="s">
        <v>36</v>
      </c>
      <c r="CJ18" t="s">
        <v>36</v>
      </c>
    </row>
    <row r="19" spans="1:88" x14ac:dyDescent="0.35">
      <c r="A19" t="s">
        <v>98</v>
      </c>
      <c r="B19" t="s">
        <v>99</v>
      </c>
      <c r="C19" t="s">
        <v>100</v>
      </c>
      <c r="D19" t="s">
        <v>83</v>
      </c>
      <c r="E19" t="s">
        <v>41</v>
      </c>
      <c r="F19" t="s">
        <v>42</v>
      </c>
      <c r="G19" t="s">
        <v>42</v>
      </c>
      <c r="H19" t="s">
        <v>42</v>
      </c>
      <c r="I19" t="s">
        <v>54</v>
      </c>
      <c r="J19" t="s">
        <v>96</v>
      </c>
      <c r="K19" t="s">
        <v>97</v>
      </c>
      <c r="L19" t="s">
        <v>97</v>
      </c>
      <c r="M19" t="s">
        <v>97</v>
      </c>
      <c r="O19" t="s">
        <v>97</v>
      </c>
      <c r="U19" t="s">
        <v>97</v>
      </c>
      <c r="AC19" t="s">
        <v>97</v>
      </c>
      <c r="AD19" t="s">
        <v>97</v>
      </c>
      <c r="AE19" t="s">
        <v>97</v>
      </c>
      <c r="AF19" t="s">
        <v>97</v>
      </c>
      <c r="AH19">
        <v>0</v>
      </c>
      <c r="AI19">
        <v>0</v>
      </c>
      <c r="AJ19" t="s">
        <v>45</v>
      </c>
      <c r="CB19" t="s">
        <v>36</v>
      </c>
      <c r="CC19" t="s">
        <v>36</v>
      </c>
      <c r="CD19" t="s">
        <v>36</v>
      </c>
      <c r="CE19" t="s">
        <v>36</v>
      </c>
      <c r="CF19" t="s">
        <v>36</v>
      </c>
      <c r="CG19" t="s">
        <v>36</v>
      </c>
      <c r="CH19" t="s">
        <v>36</v>
      </c>
      <c r="CI19" t="s">
        <v>36</v>
      </c>
      <c r="CJ19" t="s">
        <v>36</v>
      </c>
    </row>
    <row r="20" spans="1:88" x14ac:dyDescent="0.35">
      <c r="A20" t="s">
        <v>101</v>
      </c>
      <c r="B20" t="s">
        <v>102</v>
      </c>
      <c r="C20" t="s">
        <v>95</v>
      </c>
      <c r="D20">
        <v>1</v>
      </c>
      <c r="E20" t="s">
        <v>41</v>
      </c>
      <c r="F20" t="s">
        <v>42</v>
      </c>
      <c r="G20" t="s">
        <v>42</v>
      </c>
      <c r="H20" t="s">
        <v>42</v>
      </c>
      <c r="I20" t="s">
        <v>43</v>
      </c>
      <c r="J20" t="s">
        <v>96</v>
      </c>
      <c r="CB20" t="s">
        <v>36</v>
      </c>
      <c r="CC20" t="s">
        <v>36</v>
      </c>
      <c r="CD20" t="s">
        <v>36</v>
      </c>
      <c r="CE20" t="s">
        <v>36</v>
      </c>
      <c r="CF20" t="s">
        <v>36</v>
      </c>
      <c r="CG20" t="s">
        <v>36</v>
      </c>
      <c r="CH20" t="s">
        <v>36</v>
      </c>
      <c r="CI20" t="s">
        <v>36</v>
      </c>
      <c r="CJ20" t="s">
        <v>36</v>
      </c>
    </row>
    <row r="21" spans="1:88" x14ac:dyDescent="0.35">
      <c r="A21" t="s">
        <v>103</v>
      </c>
      <c r="B21" t="s">
        <v>104</v>
      </c>
      <c r="C21" t="s">
        <v>105</v>
      </c>
      <c r="D21">
        <v>1</v>
      </c>
      <c r="E21" t="s">
        <v>41</v>
      </c>
      <c r="F21" t="s">
        <v>42</v>
      </c>
      <c r="G21" t="s">
        <v>42</v>
      </c>
      <c r="H21" t="s">
        <v>42</v>
      </c>
      <c r="I21" t="s">
        <v>43</v>
      </c>
      <c r="J21" t="s">
        <v>106</v>
      </c>
      <c r="K21">
        <v>30</v>
      </c>
      <c r="L21">
        <v>25</v>
      </c>
      <c r="M21">
        <v>20</v>
      </c>
      <c r="O21">
        <v>31</v>
      </c>
      <c r="R21">
        <v>25</v>
      </c>
      <c r="S21">
        <v>40</v>
      </c>
      <c r="U21">
        <v>35</v>
      </c>
      <c r="AH21">
        <v>206</v>
      </c>
      <c r="AI21">
        <v>51.5</v>
      </c>
      <c r="AJ21" t="s">
        <v>107</v>
      </c>
      <c r="CB21" t="s">
        <v>36</v>
      </c>
      <c r="CC21" t="s">
        <v>36</v>
      </c>
      <c r="CD21" t="s">
        <v>36</v>
      </c>
      <c r="CE21" t="s">
        <v>36</v>
      </c>
      <c r="CF21" t="s">
        <v>36</v>
      </c>
      <c r="CG21" t="s">
        <v>36</v>
      </c>
      <c r="CH21" t="s">
        <v>36</v>
      </c>
      <c r="CI21" t="s">
        <v>36</v>
      </c>
      <c r="CJ21" t="s">
        <v>36</v>
      </c>
    </row>
    <row r="22" spans="1:88" x14ac:dyDescent="0.35">
      <c r="A22" t="s">
        <v>108</v>
      </c>
      <c r="B22" t="s">
        <v>109</v>
      </c>
      <c r="C22" t="s">
        <v>110</v>
      </c>
      <c r="D22">
        <v>1</v>
      </c>
      <c r="E22" t="s">
        <v>41</v>
      </c>
      <c r="F22" t="s">
        <v>42</v>
      </c>
      <c r="G22" t="s">
        <v>42</v>
      </c>
      <c r="H22" t="s">
        <v>42</v>
      </c>
      <c r="I22" t="s">
        <v>54</v>
      </c>
      <c r="J22" t="s">
        <v>111</v>
      </c>
      <c r="K22">
        <v>32.5</v>
      </c>
      <c r="L22">
        <v>30</v>
      </c>
      <c r="M22">
        <v>29</v>
      </c>
      <c r="O22">
        <v>56</v>
      </c>
      <c r="R22">
        <v>57</v>
      </c>
      <c r="S22">
        <v>58</v>
      </c>
      <c r="U22">
        <v>36</v>
      </c>
      <c r="AH22">
        <v>298.5</v>
      </c>
      <c r="AI22">
        <v>74.625</v>
      </c>
      <c r="AJ22" t="s">
        <v>97</v>
      </c>
      <c r="CB22" t="s">
        <v>36</v>
      </c>
      <c r="CC22" t="s">
        <v>36</v>
      </c>
      <c r="CD22" t="s">
        <v>36</v>
      </c>
      <c r="CE22" t="s">
        <v>36</v>
      </c>
      <c r="CF22" t="s">
        <v>36</v>
      </c>
      <c r="CG22" t="s">
        <v>36</v>
      </c>
      <c r="CH22" t="s">
        <v>36</v>
      </c>
      <c r="CI22" t="s">
        <v>36</v>
      </c>
      <c r="CJ22" t="s">
        <v>36</v>
      </c>
    </row>
    <row r="23" spans="1:88" x14ac:dyDescent="0.35">
      <c r="A23" t="s">
        <v>112</v>
      </c>
      <c r="B23" t="s">
        <v>113</v>
      </c>
      <c r="C23" t="s">
        <v>100</v>
      </c>
      <c r="D23">
        <v>1</v>
      </c>
      <c r="E23" t="s">
        <v>41</v>
      </c>
      <c r="F23" t="s">
        <v>42</v>
      </c>
      <c r="G23" t="s">
        <v>42</v>
      </c>
      <c r="H23" t="s">
        <v>42</v>
      </c>
      <c r="I23" t="s">
        <v>54</v>
      </c>
      <c r="J23" t="s">
        <v>96</v>
      </c>
      <c r="AH23">
        <v>0</v>
      </c>
      <c r="AI23">
        <v>0</v>
      </c>
      <c r="AJ23" t="s">
        <v>114</v>
      </c>
      <c r="CB23" t="s">
        <v>36</v>
      </c>
      <c r="CC23" t="s">
        <v>36</v>
      </c>
      <c r="CD23" t="s">
        <v>36</v>
      </c>
      <c r="CE23" t="s">
        <v>36</v>
      </c>
      <c r="CF23" t="s">
        <v>36</v>
      </c>
      <c r="CG23" t="s">
        <v>36</v>
      </c>
      <c r="CH23" t="s">
        <v>36</v>
      </c>
      <c r="CI23" t="s">
        <v>36</v>
      </c>
      <c r="CJ23" t="s">
        <v>36</v>
      </c>
    </row>
    <row r="24" spans="1:88" x14ac:dyDescent="0.35">
      <c r="A24" t="s">
        <v>115</v>
      </c>
      <c r="B24" t="s">
        <v>116</v>
      </c>
      <c r="D24">
        <v>1</v>
      </c>
      <c r="E24" t="s">
        <v>41</v>
      </c>
      <c r="F24" t="s">
        <v>117</v>
      </c>
      <c r="G24" t="s">
        <v>118</v>
      </c>
      <c r="H24">
        <v>44596</v>
      </c>
      <c r="I24" t="s">
        <v>54</v>
      </c>
      <c r="J24" t="s">
        <v>111</v>
      </c>
      <c r="K24">
        <v>44</v>
      </c>
      <c r="L24">
        <v>32</v>
      </c>
      <c r="M24">
        <v>38</v>
      </c>
      <c r="O24">
        <v>37</v>
      </c>
      <c r="R24">
        <v>58</v>
      </c>
      <c r="S24">
        <v>50</v>
      </c>
      <c r="U24">
        <v>37</v>
      </c>
      <c r="AH24">
        <v>296</v>
      </c>
      <c r="AI24">
        <v>74</v>
      </c>
      <c r="AJ24" t="s">
        <v>97</v>
      </c>
      <c r="CB24" t="s">
        <v>36</v>
      </c>
      <c r="CC24" t="s">
        <v>36</v>
      </c>
      <c r="CD24" t="s">
        <v>36</v>
      </c>
      <c r="CE24" t="s">
        <v>36</v>
      </c>
      <c r="CF24" t="s">
        <v>36</v>
      </c>
      <c r="CG24" t="s">
        <v>36</v>
      </c>
      <c r="CH24" t="s">
        <v>36</v>
      </c>
      <c r="CI24" t="s">
        <v>36</v>
      </c>
      <c r="CJ24" t="s">
        <v>36</v>
      </c>
    </row>
    <row r="25" spans="1:88" x14ac:dyDescent="0.35">
      <c r="A25" t="s">
        <v>119</v>
      </c>
      <c r="B25" t="s">
        <v>120</v>
      </c>
      <c r="C25" t="s">
        <v>121</v>
      </c>
      <c r="D25">
        <v>2</v>
      </c>
      <c r="E25" t="s">
        <v>41</v>
      </c>
      <c r="F25" t="s">
        <v>42</v>
      </c>
      <c r="G25" t="s">
        <v>42</v>
      </c>
      <c r="H25" t="s">
        <v>42</v>
      </c>
      <c r="I25" t="s">
        <v>43</v>
      </c>
      <c r="J25" t="s">
        <v>106</v>
      </c>
      <c r="K25">
        <v>42</v>
      </c>
      <c r="L25">
        <v>31</v>
      </c>
      <c r="M25">
        <v>28</v>
      </c>
      <c r="O25">
        <v>28</v>
      </c>
      <c r="R25">
        <v>25</v>
      </c>
      <c r="S25">
        <v>60</v>
      </c>
      <c r="U25">
        <v>30</v>
      </c>
      <c r="AH25">
        <v>244</v>
      </c>
      <c r="AI25">
        <v>54.222222222222229</v>
      </c>
      <c r="AJ25" t="s">
        <v>107</v>
      </c>
      <c r="CB25" t="s">
        <v>36</v>
      </c>
      <c r="CC25" t="s">
        <v>36</v>
      </c>
      <c r="CD25" t="s">
        <v>36</v>
      </c>
      <c r="CE25" t="s">
        <v>36</v>
      </c>
      <c r="CF25" t="s">
        <v>36</v>
      </c>
      <c r="CG25" t="s">
        <v>36</v>
      </c>
      <c r="CH25" t="s">
        <v>36</v>
      </c>
      <c r="CI25" t="s">
        <v>36</v>
      </c>
      <c r="CJ25" t="s">
        <v>36</v>
      </c>
    </row>
    <row r="26" spans="1:88" x14ac:dyDescent="0.35">
      <c r="A26" t="s">
        <v>122</v>
      </c>
      <c r="B26" t="s">
        <v>123</v>
      </c>
      <c r="C26" t="s">
        <v>75</v>
      </c>
      <c r="D26">
        <v>2</v>
      </c>
      <c r="E26" t="s">
        <v>41</v>
      </c>
      <c r="F26" t="s">
        <v>42</v>
      </c>
      <c r="G26" t="s">
        <v>42</v>
      </c>
      <c r="H26" t="s">
        <v>42</v>
      </c>
      <c r="I26" t="s">
        <v>43</v>
      </c>
      <c r="J26" t="s">
        <v>44</v>
      </c>
      <c r="K26">
        <v>67</v>
      </c>
      <c r="L26">
        <v>55</v>
      </c>
      <c r="M26">
        <v>53</v>
      </c>
      <c r="O26">
        <v>57</v>
      </c>
      <c r="R26">
        <v>68</v>
      </c>
      <c r="S26">
        <v>68</v>
      </c>
      <c r="U26">
        <v>35</v>
      </c>
      <c r="AH26">
        <v>403</v>
      </c>
      <c r="AI26">
        <v>89.555555555555557</v>
      </c>
      <c r="AJ26" t="s">
        <v>45</v>
      </c>
      <c r="CB26" t="s">
        <v>36</v>
      </c>
      <c r="CC26" t="s">
        <v>36</v>
      </c>
      <c r="CD26" t="s">
        <v>36</v>
      </c>
      <c r="CE26" t="s">
        <v>36</v>
      </c>
      <c r="CF26" t="s">
        <v>36</v>
      </c>
      <c r="CG26" t="s">
        <v>36</v>
      </c>
      <c r="CH26" t="s">
        <v>36</v>
      </c>
      <c r="CI26" t="s">
        <v>36</v>
      </c>
      <c r="CJ26" t="s">
        <v>36</v>
      </c>
    </row>
    <row r="27" spans="1:88" x14ac:dyDescent="0.35">
      <c r="A27" t="s">
        <v>124</v>
      </c>
      <c r="B27" t="s">
        <v>125</v>
      </c>
      <c r="C27" t="s">
        <v>126</v>
      </c>
      <c r="D27">
        <v>2</v>
      </c>
      <c r="E27" t="s">
        <v>41</v>
      </c>
      <c r="F27" t="s">
        <v>42</v>
      </c>
      <c r="G27" t="s">
        <v>42</v>
      </c>
      <c r="H27" t="s">
        <v>42</v>
      </c>
      <c r="I27" t="s">
        <v>43</v>
      </c>
      <c r="J27" t="s">
        <v>44</v>
      </c>
      <c r="K27">
        <v>68</v>
      </c>
      <c r="L27">
        <v>55</v>
      </c>
      <c r="M27">
        <v>65</v>
      </c>
      <c r="O27">
        <v>64</v>
      </c>
      <c r="R27">
        <v>65</v>
      </c>
      <c r="S27">
        <v>67.5</v>
      </c>
      <c r="U27">
        <v>35</v>
      </c>
      <c r="AH27">
        <v>419.5</v>
      </c>
      <c r="AI27">
        <v>93.222222222222214</v>
      </c>
      <c r="AJ27" t="s">
        <v>45</v>
      </c>
      <c r="CB27" t="s">
        <v>36</v>
      </c>
      <c r="CC27" t="s">
        <v>36</v>
      </c>
      <c r="CD27" t="s">
        <v>36</v>
      </c>
      <c r="CE27" t="s">
        <v>36</v>
      </c>
      <c r="CF27" t="s">
        <v>36</v>
      </c>
      <c r="CG27" t="s">
        <v>36</v>
      </c>
      <c r="CH27" t="s">
        <v>36</v>
      </c>
      <c r="CI27" t="s">
        <v>36</v>
      </c>
      <c r="CJ27" t="s">
        <v>36</v>
      </c>
    </row>
    <row r="28" spans="1:88" x14ac:dyDescent="0.35">
      <c r="A28" t="s">
        <v>127</v>
      </c>
      <c r="B28" t="s">
        <v>128</v>
      </c>
      <c r="C28" t="s">
        <v>129</v>
      </c>
      <c r="D28">
        <v>2</v>
      </c>
      <c r="E28" t="s">
        <v>41</v>
      </c>
      <c r="F28" t="s">
        <v>42</v>
      </c>
      <c r="G28" t="s">
        <v>42</v>
      </c>
      <c r="H28" t="s">
        <v>42</v>
      </c>
      <c r="I28" t="s">
        <v>43</v>
      </c>
      <c r="J28" t="s">
        <v>106</v>
      </c>
      <c r="K28">
        <v>22</v>
      </c>
      <c r="L28">
        <v>24</v>
      </c>
      <c r="M28">
        <v>48</v>
      </c>
      <c r="O28">
        <v>33</v>
      </c>
      <c r="R28">
        <v>26</v>
      </c>
      <c r="S28">
        <v>47</v>
      </c>
      <c r="U28">
        <v>30</v>
      </c>
      <c r="AH28">
        <v>230</v>
      </c>
      <c r="AI28">
        <v>51.111111111111107</v>
      </c>
      <c r="AJ28" t="s">
        <v>107</v>
      </c>
      <c r="CB28" t="s">
        <v>36</v>
      </c>
      <c r="CC28" t="s">
        <v>36</v>
      </c>
      <c r="CD28" t="s">
        <v>36</v>
      </c>
      <c r="CE28" t="s">
        <v>36</v>
      </c>
      <c r="CF28" t="s">
        <v>36</v>
      </c>
      <c r="CG28" t="s">
        <v>36</v>
      </c>
      <c r="CH28" t="s">
        <v>36</v>
      </c>
      <c r="CI28" t="s">
        <v>36</v>
      </c>
      <c r="CJ28" t="s">
        <v>36</v>
      </c>
    </row>
    <row r="29" spans="1:88" x14ac:dyDescent="0.35">
      <c r="A29" t="s">
        <v>130</v>
      </c>
      <c r="B29" t="s">
        <v>131</v>
      </c>
      <c r="C29" t="s">
        <v>50</v>
      </c>
      <c r="D29">
        <v>2</v>
      </c>
      <c r="E29" t="s">
        <v>41</v>
      </c>
      <c r="F29" t="s">
        <v>42</v>
      </c>
      <c r="G29" t="s">
        <v>42</v>
      </c>
      <c r="H29" t="s">
        <v>42</v>
      </c>
      <c r="I29" t="s">
        <v>43</v>
      </c>
      <c r="J29" t="s">
        <v>132</v>
      </c>
      <c r="K29">
        <v>45</v>
      </c>
      <c r="L29">
        <v>36</v>
      </c>
      <c r="M29">
        <v>37</v>
      </c>
      <c r="O29">
        <v>45</v>
      </c>
      <c r="R29">
        <v>40</v>
      </c>
      <c r="S29">
        <v>55.5</v>
      </c>
      <c r="U29">
        <v>30</v>
      </c>
      <c r="AH29">
        <v>288.5</v>
      </c>
      <c r="AI29">
        <v>64.111111111111114</v>
      </c>
      <c r="AJ29" t="s">
        <v>133</v>
      </c>
      <c r="CB29" t="s">
        <v>36</v>
      </c>
      <c r="CC29" t="s">
        <v>36</v>
      </c>
      <c r="CD29" t="s">
        <v>36</v>
      </c>
      <c r="CE29" t="s">
        <v>36</v>
      </c>
      <c r="CF29" t="s">
        <v>36</v>
      </c>
      <c r="CG29" t="s">
        <v>36</v>
      </c>
      <c r="CH29" t="s">
        <v>36</v>
      </c>
      <c r="CI29" t="s">
        <v>36</v>
      </c>
      <c r="CJ29" t="s">
        <v>36</v>
      </c>
    </row>
    <row r="30" spans="1:88" x14ac:dyDescent="0.35">
      <c r="A30" t="s">
        <v>134</v>
      </c>
      <c r="B30" t="s">
        <v>135</v>
      </c>
      <c r="C30" t="s">
        <v>136</v>
      </c>
      <c r="D30">
        <v>2</v>
      </c>
      <c r="E30" t="s">
        <v>41</v>
      </c>
      <c r="F30" t="s">
        <v>137</v>
      </c>
      <c r="G30" t="s">
        <v>138</v>
      </c>
      <c r="H30">
        <v>45720</v>
      </c>
      <c r="I30" t="s">
        <v>43</v>
      </c>
      <c r="J30" t="s">
        <v>132</v>
      </c>
      <c r="K30">
        <v>43</v>
      </c>
      <c r="L30">
        <v>32</v>
      </c>
      <c r="M30">
        <v>44</v>
      </c>
      <c r="O30">
        <v>40</v>
      </c>
      <c r="R30">
        <v>54</v>
      </c>
      <c r="S30">
        <v>67</v>
      </c>
      <c r="U30">
        <v>30</v>
      </c>
      <c r="AH30">
        <v>310</v>
      </c>
      <c r="AI30">
        <v>68.888888888888886</v>
      </c>
      <c r="AJ30" t="s">
        <v>133</v>
      </c>
      <c r="CB30" t="s">
        <v>36</v>
      </c>
      <c r="CC30" t="s">
        <v>36</v>
      </c>
      <c r="CD30" t="s">
        <v>36</v>
      </c>
      <c r="CE30" t="s">
        <v>36</v>
      </c>
      <c r="CF30" t="s">
        <v>36</v>
      </c>
      <c r="CG30" t="s">
        <v>36</v>
      </c>
      <c r="CH30" t="s">
        <v>36</v>
      </c>
      <c r="CI30" t="s">
        <v>36</v>
      </c>
      <c r="CJ30" t="s">
        <v>36</v>
      </c>
    </row>
    <row r="31" spans="1:88" x14ac:dyDescent="0.35">
      <c r="A31" t="s">
        <v>139</v>
      </c>
      <c r="B31" t="s">
        <v>140</v>
      </c>
      <c r="C31" t="s">
        <v>65</v>
      </c>
      <c r="D31">
        <v>2</v>
      </c>
      <c r="E31" t="s">
        <v>41</v>
      </c>
      <c r="F31" t="s">
        <v>141</v>
      </c>
      <c r="G31" t="s">
        <v>142</v>
      </c>
      <c r="H31">
        <v>44385</v>
      </c>
      <c r="I31" t="s">
        <v>43</v>
      </c>
      <c r="J31" t="s">
        <v>44</v>
      </c>
      <c r="K31">
        <v>67.5</v>
      </c>
      <c r="L31">
        <v>56</v>
      </c>
      <c r="M31">
        <v>67</v>
      </c>
      <c r="O31">
        <v>63</v>
      </c>
      <c r="R31">
        <v>69</v>
      </c>
      <c r="S31">
        <v>69.5</v>
      </c>
      <c r="U31">
        <v>28</v>
      </c>
      <c r="AH31">
        <v>420</v>
      </c>
      <c r="AI31">
        <v>93.333333333333329</v>
      </c>
      <c r="AJ31" t="s">
        <v>45</v>
      </c>
      <c r="CB31" t="s">
        <v>36</v>
      </c>
      <c r="CC31" t="s">
        <v>36</v>
      </c>
      <c r="CD31" t="s">
        <v>36</v>
      </c>
      <c r="CE31" t="s">
        <v>36</v>
      </c>
      <c r="CF31" t="s">
        <v>36</v>
      </c>
      <c r="CG31" t="s">
        <v>36</v>
      </c>
      <c r="CH31" t="s">
        <v>36</v>
      </c>
      <c r="CI31" t="s">
        <v>36</v>
      </c>
      <c r="CJ31" t="s">
        <v>36</v>
      </c>
    </row>
    <row r="32" spans="1:88" x14ac:dyDescent="0.35">
      <c r="A32" t="s">
        <v>143</v>
      </c>
      <c r="B32" t="s">
        <v>144</v>
      </c>
      <c r="C32" t="s">
        <v>92</v>
      </c>
      <c r="D32">
        <v>2</v>
      </c>
      <c r="E32" t="s">
        <v>41</v>
      </c>
      <c r="F32" t="s">
        <v>42</v>
      </c>
      <c r="G32" t="s">
        <v>42</v>
      </c>
      <c r="H32" t="s">
        <v>42</v>
      </c>
      <c r="I32" t="s">
        <v>43</v>
      </c>
      <c r="J32" t="s">
        <v>96</v>
      </c>
      <c r="K32">
        <v>2</v>
      </c>
      <c r="L32">
        <v>9</v>
      </c>
      <c r="M32">
        <v>10</v>
      </c>
      <c r="O32">
        <v>12</v>
      </c>
      <c r="R32">
        <v>16</v>
      </c>
      <c r="S32">
        <v>29.5</v>
      </c>
      <c r="U32">
        <v>20</v>
      </c>
      <c r="AH32">
        <v>98.5</v>
      </c>
      <c r="AI32">
        <v>21.888888888888889</v>
      </c>
      <c r="AJ32" t="s">
        <v>114</v>
      </c>
      <c r="CB32" t="s">
        <v>36</v>
      </c>
      <c r="CC32" t="s">
        <v>36</v>
      </c>
      <c r="CD32" t="s">
        <v>36</v>
      </c>
      <c r="CE32" t="s">
        <v>36</v>
      </c>
      <c r="CF32" t="s">
        <v>36</v>
      </c>
      <c r="CG32" t="s">
        <v>36</v>
      </c>
      <c r="CH32" t="s">
        <v>36</v>
      </c>
      <c r="CI32" t="s">
        <v>36</v>
      </c>
      <c r="CJ32" t="s">
        <v>36</v>
      </c>
    </row>
    <row r="33" spans="1:88" x14ac:dyDescent="0.35">
      <c r="A33" t="s">
        <v>145</v>
      </c>
      <c r="B33" t="s">
        <v>146</v>
      </c>
      <c r="C33" t="s">
        <v>147</v>
      </c>
      <c r="D33">
        <v>3</v>
      </c>
      <c r="E33" t="s">
        <v>41</v>
      </c>
      <c r="F33" t="s">
        <v>42</v>
      </c>
      <c r="G33" t="s">
        <v>42</v>
      </c>
      <c r="H33" t="s">
        <v>42</v>
      </c>
      <c r="I33" t="s">
        <v>43</v>
      </c>
      <c r="J33" t="s">
        <v>96</v>
      </c>
      <c r="K33">
        <v>6</v>
      </c>
      <c r="L33">
        <v>28</v>
      </c>
      <c r="M33">
        <v>27</v>
      </c>
      <c r="O33">
        <v>0</v>
      </c>
      <c r="R33">
        <v>10</v>
      </c>
      <c r="S33">
        <v>14</v>
      </c>
      <c r="U33">
        <v>15</v>
      </c>
      <c r="AH33">
        <v>100</v>
      </c>
      <c r="AI33">
        <v>22.222222222222221</v>
      </c>
      <c r="AJ33" t="s">
        <v>114</v>
      </c>
      <c r="CB33" t="s">
        <v>36</v>
      </c>
      <c r="CC33" t="s">
        <v>36</v>
      </c>
      <c r="CD33" t="s">
        <v>36</v>
      </c>
      <c r="CE33" t="s">
        <v>36</v>
      </c>
      <c r="CF33" t="s">
        <v>36</v>
      </c>
      <c r="CG33" t="s">
        <v>36</v>
      </c>
      <c r="CH33" t="s">
        <v>36</v>
      </c>
      <c r="CI33" t="s">
        <v>36</v>
      </c>
      <c r="CJ33" t="s">
        <v>36</v>
      </c>
    </row>
    <row r="34" spans="1:88" x14ac:dyDescent="0.35">
      <c r="A34" t="s">
        <v>148</v>
      </c>
      <c r="B34" t="s">
        <v>149</v>
      </c>
      <c r="C34" t="s">
        <v>92</v>
      </c>
      <c r="D34">
        <v>3</v>
      </c>
      <c r="E34" t="s">
        <v>41</v>
      </c>
      <c r="F34" t="s">
        <v>150</v>
      </c>
      <c r="G34" t="s">
        <v>151</v>
      </c>
      <c r="H34" t="s">
        <v>152</v>
      </c>
      <c r="I34" t="s">
        <v>43</v>
      </c>
      <c r="J34" t="s">
        <v>132</v>
      </c>
      <c r="K34">
        <v>44</v>
      </c>
      <c r="L34">
        <v>45</v>
      </c>
      <c r="M34">
        <v>49</v>
      </c>
      <c r="O34">
        <v>32</v>
      </c>
      <c r="R34">
        <v>45</v>
      </c>
      <c r="S34">
        <v>38</v>
      </c>
      <c r="U34">
        <v>25</v>
      </c>
      <c r="AH34">
        <v>278</v>
      </c>
      <c r="AI34">
        <v>61.777777777777779</v>
      </c>
      <c r="AJ34" t="s">
        <v>133</v>
      </c>
      <c r="CB34" t="s">
        <v>36</v>
      </c>
      <c r="CC34" t="s">
        <v>36</v>
      </c>
      <c r="CD34" t="s">
        <v>36</v>
      </c>
      <c r="CE34" t="s">
        <v>36</v>
      </c>
      <c r="CF34" t="s">
        <v>36</v>
      </c>
      <c r="CG34" t="s">
        <v>36</v>
      </c>
      <c r="CH34" t="s">
        <v>36</v>
      </c>
      <c r="CI34" t="s">
        <v>36</v>
      </c>
      <c r="CJ34" t="s">
        <v>36</v>
      </c>
    </row>
    <row r="35" spans="1:88" x14ac:dyDescent="0.35">
      <c r="A35" t="s">
        <v>153</v>
      </c>
      <c r="B35" t="s">
        <v>154</v>
      </c>
      <c r="C35" t="s">
        <v>72</v>
      </c>
      <c r="D35">
        <v>3</v>
      </c>
      <c r="E35" t="s">
        <v>41</v>
      </c>
      <c r="F35" t="s">
        <v>42</v>
      </c>
      <c r="G35" t="s">
        <v>42</v>
      </c>
      <c r="H35" t="s">
        <v>42</v>
      </c>
      <c r="I35" t="s">
        <v>43</v>
      </c>
      <c r="J35" t="s">
        <v>106</v>
      </c>
      <c r="K35">
        <v>40</v>
      </c>
      <c r="L35">
        <v>36</v>
      </c>
      <c r="M35">
        <v>42</v>
      </c>
      <c r="O35">
        <v>30</v>
      </c>
      <c r="R35">
        <v>30</v>
      </c>
      <c r="S35">
        <v>35</v>
      </c>
      <c r="U35">
        <v>20</v>
      </c>
      <c r="AH35">
        <v>233</v>
      </c>
      <c r="AI35">
        <v>51.777777777777779</v>
      </c>
      <c r="AJ35" t="s">
        <v>107</v>
      </c>
      <c r="CB35" t="s">
        <v>36</v>
      </c>
      <c r="CC35" t="s">
        <v>36</v>
      </c>
      <c r="CD35" t="s">
        <v>36</v>
      </c>
      <c r="CE35" t="s">
        <v>36</v>
      </c>
      <c r="CF35" t="s">
        <v>36</v>
      </c>
      <c r="CG35" t="s">
        <v>36</v>
      </c>
      <c r="CH35" t="s">
        <v>36</v>
      </c>
      <c r="CI35" t="s">
        <v>36</v>
      </c>
      <c r="CJ35" t="s">
        <v>36</v>
      </c>
    </row>
    <row r="36" spans="1:88" x14ac:dyDescent="0.35">
      <c r="A36" t="s">
        <v>155</v>
      </c>
      <c r="B36" t="s">
        <v>156</v>
      </c>
      <c r="C36" t="s">
        <v>157</v>
      </c>
      <c r="D36">
        <v>4</v>
      </c>
      <c r="E36" t="s">
        <v>41</v>
      </c>
      <c r="F36" t="s">
        <v>42</v>
      </c>
      <c r="G36" t="s">
        <v>42</v>
      </c>
      <c r="H36" t="s">
        <v>42</v>
      </c>
      <c r="I36" t="s">
        <v>43</v>
      </c>
      <c r="J36" t="s">
        <v>106</v>
      </c>
      <c r="K36">
        <v>78</v>
      </c>
      <c r="L36">
        <v>53</v>
      </c>
      <c r="M36">
        <v>65.5</v>
      </c>
      <c r="P36">
        <v>50</v>
      </c>
      <c r="R36">
        <v>52</v>
      </c>
      <c r="S36">
        <v>50</v>
      </c>
      <c r="T36">
        <v>43</v>
      </c>
      <c r="U36">
        <v>48</v>
      </c>
      <c r="AK36">
        <v>439.5</v>
      </c>
      <c r="AL36">
        <v>58.599999999999994</v>
      </c>
      <c r="AM36" t="s">
        <v>107</v>
      </c>
      <c r="CB36" t="s">
        <v>36</v>
      </c>
      <c r="CC36" t="s">
        <v>36</v>
      </c>
      <c r="CD36" t="s">
        <v>36</v>
      </c>
      <c r="CE36" t="s">
        <v>36</v>
      </c>
      <c r="CF36" t="s">
        <v>36</v>
      </c>
      <c r="CG36" t="s">
        <v>36</v>
      </c>
      <c r="CH36" t="s">
        <v>36</v>
      </c>
      <c r="CI36" t="s">
        <v>36</v>
      </c>
      <c r="CJ36" t="s">
        <v>36</v>
      </c>
    </row>
    <row r="37" spans="1:88" x14ac:dyDescent="0.35">
      <c r="A37" t="s">
        <v>158</v>
      </c>
      <c r="B37" t="s">
        <v>159</v>
      </c>
      <c r="C37" t="s">
        <v>160</v>
      </c>
      <c r="D37">
        <v>4</v>
      </c>
      <c r="E37" t="s">
        <v>41</v>
      </c>
      <c r="F37" t="s">
        <v>42</v>
      </c>
      <c r="G37" t="s">
        <v>42</v>
      </c>
      <c r="H37" t="s">
        <v>42</v>
      </c>
      <c r="I37" t="s">
        <v>43</v>
      </c>
      <c r="J37" t="s">
        <v>44</v>
      </c>
      <c r="K37">
        <v>99.5</v>
      </c>
      <c r="L37">
        <v>89.5</v>
      </c>
      <c r="M37">
        <v>100</v>
      </c>
      <c r="P37">
        <v>88</v>
      </c>
      <c r="R37">
        <v>100</v>
      </c>
      <c r="S37">
        <v>74</v>
      </c>
      <c r="T37">
        <v>83</v>
      </c>
      <c r="U37">
        <v>45</v>
      </c>
      <c r="AK37">
        <v>679</v>
      </c>
      <c r="AL37">
        <v>90.533333333333331</v>
      </c>
      <c r="AM37" t="s">
        <v>45</v>
      </c>
      <c r="CB37" t="s">
        <v>36</v>
      </c>
      <c r="CC37" t="s">
        <v>36</v>
      </c>
      <c r="CD37" t="s">
        <v>36</v>
      </c>
      <c r="CE37" t="s">
        <v>36</v>
      </c>
      <c r="CF37" t="s">
        <v>36</v>
      </c>
      <c r="CG37" t="s">
        <v>36</v>
      </c>
      <c r="CH37" t="s">
        <v>36</v>
      </c>
      <c r="CI37" t="s">
        <v>36</v>
      </c>
      <c r="CJ37" t="s">
        <v>36</v>
      </c>
    </row>
    <row r="38" spans="1:88" x14ac:dyDescent="0.35">
      <c r="A38" t="s">
        <v>161</v>
      </c>
      <c r="B38" t="s">
        <v>162</v>
      </c>
      <c r="C38" t="s">
        <v>129</v>
      </c>
      <c r="D38">
        <v>4</v>
      </c>
      <c r="E38" t="s">
        <v>41</v>
      </c>
      <c r="F38" t="s">
        <v>42</v>
      </c>
      <c r="G38" t="s">
        <v>42</v>
      </c>
      <c r="H38" t="s">
        <v>42</v>
      </c>
      <c r="I38" t="s">
        <v>43</v>
      </c>
      <c r="J38" t="s">
        <v>106</v>
      </c>
      <c r="K38">
        <v>40</v>
      </c>
      <c r="L38">
        <v>67</v>
      </c>
      <c r="M38">
        <v>73</v>
      </c>
      <c r="P38">
        <v>41</v>
      </c>
      <c r="R38">
        <v>79.5</v>
      </c>
      <c r="S38">
        <v>49</v>
      </c>
      <c r="T38">
        <v>49</v>
      </c>
      <c r="U38">
        <v>35</v>
      </c>
      <c r="AK38">
        <v>433.5</v>
      </c>
      <c r="AL38">
        <v>57.8</v>
      </c>
      <c r="AM38" t="s">
        <v>107</v>
      </c>
      <c r="CB38" t="s">
        <v>36</v>
      </c>
      <c r="CC38" t="s">
        <v>36</v>
      </c>
      <c r="CD38" t="s">
        <v>36</v>
      </c>
      <c r="CE38" t="s">
        <v>36</v>
      </c>
      <c r="CF38" t="s">
        <v>36</v>
      </c>
      <c r="CG38" t="s">
        <v>36</v>
      </c>
      <c r="CH38" t="s">
        <v>36</v>
      </c>
      <c r="CI38" t="s">
        <v>36</v>
      </c>
      <c r="CJ38" t="s">
        <v>36</v>
      </c>
    </row>
    <row r="39" spans="1:88" x14ac:dyDescent="0.35">
      <c r="A39" t="s">
        <v>163</v>
      </c>
      <c r="B39" t="s">
        <v>164</v>
      </c>
      <c r="C39" t="s">
        <v>165</v>
      </c>
      <c r="D39">
        <v>4</v>
      </c>
      <c r="E39" t="s">
        <v>41</v>
      </c>
      <c r="F39" t="s">
        <v>166</v>
      </c>
      <c r="G39" t="s">
        <v>167</v>
      </c>
      <c r="H39">
        <v>45386</v>
      </c>
      <c r="I39" t="s">
        <v>43</v>
      </c>
      <c r="J39" t="s">
        <v>132</v>
      </c>
      <c r="K39">
        <v>63</v>
      </c>
      <c r="L39">
        <v>86</v>
      </c>
      <c r="M39">
        <v>83.5</v>
      </c>
      <c r="P39" t="s">
        <v>97</v>
      </c>
      <c r="R39">
        <v>57</v>
      </c>
      <c r="S39">
        <v>68</v>
      </c>
      <c r="T39">
        <v>35</v>
      </c>
      <c r="U39">
        <v>40</v>
      </c>
      <c r="AK39">
        <v>473</v>
      </c>
      <c r="AL39">
        <v>63.06666666666667</v>
      </c>
      <c r="AM39" t="s">
        <v>133</v>
      </c>
      <c r="CB39" t="s">
        <v>36</v>
      </c>
      <c r="CC39" t="s">
        <v>36</v>
      </c>
      <c r="CD39" t="s">
        <v>36</v>
      </c>
      <c r="CE39" t="s">
        <v>36</v>
      </c>
      <c r="CF39" t="s">
        <v>36</v>
      </c>
      <c r="CG39" t="s">
        <v>36</v>
      </c>
      <c r="CH39" t="s">
        <v>36</v>
      </c>
      <c r="CI39" t="s">
        <v>36</v>
      </c>
      <c r="CJ39" t="s">
        <v>36</v>
      </c>
    </row>
    <row r="40" spans="1:88" x14ac:dyDescent="0.35">
      <c r="A40" t="s">
        <v>168</v>
      </c>
      <c r="B40" t="s">
        <v>169</v>
      </c>
      <c r="C40" t="s">
        <v>170</v>
      </c>
      <c r="D40">
        <v>4</v>
      </c>
      <c r="E40" t="s">
        <v>41</v>
      </c>
      <c r="F40" t="s">
        <v>42</v>
      </c>
      <c r="G40" t="s">
        <v>42</v>
      </c>
      <c r="H40" t="s">
        <v>42</v>
      </c>
      <c r="I40" t="s">
        <v>43</v>
      </c>
      <c r="J40" t="s">
        <v>96</v>
      </c>
      <c r="K40">
        <v>42.5</v>
      </c>
      <c r="L40">
        <v>70.5</v>
      </c>
      <c r="M40">
        <v>46</v>
      </c>
      <c r="P40">
        <v>22.5</v>
      </c>
      <c r="R40">
        <v>16</v>
      </c>
      <c r="S40">
        <v>17</v>
      </c>
      <c r="T40">
        <v>10.5</v>
      </c>
      <c r="U40">
        <v>25</v>
      </c>
      <c r="AK40">
        <v>250</v>
      </c>
      <c r="AL40">
        <v>33.333333333333329</v>
      </c>
      <c r="AM40" t="s">
        <v>114</v>
      </c>
      <c r="CB40" t="s">
        <v>36</v>
      </c>
      <c r="CC40" t="s">
        <v>36</v>
      </c>
      <c r="CD40" t="s">
        <v>36</v>
      </c>
      <c r="CE40" t="s">
        <v>36</v>
      </c>
      <c r="CF40" t="s">
        <v>36</v>
      </c>
      <c r="CG40" t="s">
        <v>36</v>
      </c>
      <c r="CH40" t="s">
        <v>36</v>
      </c>
      <c r="CI40" t="s">
        <v>36</v>
      </c>
      <c r="CJ40" t="s">
        <v>36</v>
      </c>
    </row>
    <row r="41" spans="1:88" x14ac:dyDescent="0.35">
      <c r="A41" t="s">
        <v>171</v>
      </c>
      <c r="B41" t="s">
        <v>172</v>
      </c>
      <c r="C41" t="s">
        <v>165</v>
      </c>
      <c r="D41">
        <v>5</v>
      </c>
      <c r="E41" t="s">
        <v>41</v>
      </c>
      <c r="F41" t="s">
        <v>173</v>
      </c>
      <c r="G41" t="s">
        <v>174</v>
      </c>
      <c r="H41">
        <v>45386</v>
      </c>
      <c r="I41" t="s">
        <v>43</v>
      </c>
      <c r="J41" t="s">
        <v>132</v>
      </c>
      <c r="K41">
        <v>67.7</v>
      </c>
      <c r="L41">
        <v>83.5</v>
      </c>
      <c r="M41">
        <v>70.5</v>
      </c>
      <c r="P41">
        <v>29.5</v>
      </c>
      <c r="R41">
        <v>67</v>
      </c>
      <c r="S41">
        <v>89.5</v>
      </c>
      <c r="T41">
        <v>46</v>
      </c>
      <c r="U41">
        <v>40</v>
      </c>
      <c r="AK41">
        <v>493.7</v>
      </c>
      <c r="AL41">
        <v>65.826666666666668</v>
      </c>
      <c r="AM41" t="s">
        <v>133</v>
      </c>
      <c r="CB41" t="s">
        <v>36</v>
      </c>
      <c r="CC41" t="s">
        <v>36</v>
      </c>
      <c r="CD41" t="s">
        <v>36</v>
      </c>
      <c r="CE41" t="s">
        <v>36</v>
      </c>
      <c r="CF41" t="s">
        <v>36</v>
      </c>
      <c r="CG41" t="s">
        <v>36</v>
      </c>
      <c r="CH41" t="s">
        <v>36</v>
      </c>
      <c r="CI41" t="s">
        <v>36</v>
      </c>
      <c r="CJ41" t="s">
        <v>36</v>
      </c>
    </row>
    <row r="42" spans="1:88" x14ac:dyDescent="0.35">
      <c r="A42" t="s">
        <v>175</v>
      </c>
      <c r="B42" t="s">
        <v>176</v>
      </c>
      <c r="C42" t="s">
        <v>177</v>
      </c>
      <c r="D42">
        <v>5</v>
      </c>
      <c r="E42" t="s">
        <v>41</v>
      </c>
      <c r="F42" t="s">
        <v>42</v>
      </c>
      <c r="G42" t="s">
        <v>42</v>
      </c>
      <c r="H42" t="s">
        <v>42</v>
      </c>
      <c r="I42" t="s">
        <v>43</v>
      </c>
      <c r="J42" t="s">
        <v>106</v>
      </c>
      <c r="K42">
        <v>68</v>
      </c>
      <c r="L42">
        <v>65</v>
      </c>
      <c r="M42">
        <v>34</v>
      </c>
      <c r="P42">
        <v>33</v>
      </c>
      <c r="R42">
        <v>32.5</v>
      </c>
      <c r="S42">
        <v>80</v>
      </c>
      <c r="T42">
        <v>35.5</v>
      </c>
      <c r="U42">
        <v>45</v>
      </c>
      <c r="AK42">
        <v>393</v>
      </c>
      <c r="AL42">
        <v>52.400000000000006</v>
      </c>
      <c r="AM42" t="s">
        <v>107</v>
      </c>
      <c r="CB42" t="s">
        <v>36</v>
      </c>
      <c r="CC42" t="s">
        <v>36</v>
      </c>
      <c r="CD42" t="s">
        <v>36</v>
      </c>
      <c r="CE42" t="s">
        <v>36</v>
      </c>
      <c r="CF42" t="s">
        <v>36</v>
      </c>
      <c r="CG42" t="s">
        <v>36</v>
      </c>
      <c r="CH42" t="s">
        <v>36</v>
      </c>
      <c r="CI42" t="s">
        <v>36</v>
      </c>
      <c r="CJ42" t="s">
        <v>36</v>
      </c>
    </row>
    <row r="43" spans="1:88" x14ac:dyDescent="0.35">
      <c r="A43" t="s">
        <v>178</v>
      </c>
      <c r="B43" t="s">
        <v>179</v>
      </c>
      <c r="C43" t="s">
        <v>75</v>
      </c>
      <c r="D43">
        <v>5</v>
      </c>
      <c r="E43" t="s">
        <v>41</v>
      </c>
      <c r="F43" t="s">
        <v>42</v>
      </c>
      <c r="G43" t="s">
        <v>42</v>
      </c>
      <c r="H43" t="s">
        <v>42</v>
      </c>
      <c r="I43" t="s">
        <v>43</v>
      </c>
      <c r="J43" t="s">
        <v>132</v>
      </c>
      <c r="K43">
        <v>76.5</v>
      </c>
      <c r="L43">
        <v>51.5</v>
      </c>
      <c r="M43">
        <v>42</v>
      </c>
      <c r="P43">
        <v>52.5</v>
      </c>
      <c r="R43">
        <v>68</v>
      </c>
      <c r="S43">
        <v>88</v>
      </c>
      <c r="T43">
        <v>65</v>
      </c>
      <c r="U43">
        <v>40</v>
      </c>
      <c r="AK43">
        <v>483.5</v>
      </c>
      <c r="AL43">
        <v>64.466666666666669</v>
      </c>
      <c r="AM43" t="s">
        <v>133</v>
      </c>
      <c r="CB43" t="s">
        <v>36</v>
      </c>
      <c r="CC43" t="s">
        <v>36</v>
      </c>
      <c r="CD43" t="s">
        <v>36</v>
      </c>
      <c r="CE43" t="s">
        <v>36</v>
      </c>
      <c r="CF43" t="s">
        <v>36</v>
      </c>
      <c r="CG43" t="s">
        <v>36</v>
      </c>
      <c r="CH43" t="s">
        <v>36</v>
      </c>
      <c r="CI43" t="s">
        <v>36</v>
      </c>
      <c r="CJ43" t="s">
        <v>36</v>
      </c>
    </row>
    <row r="44" spans="1:88" x14ac:dyDescent="0.35">
      <c r="A44" t="s">
        <v>180</v>
      </c>
      <c r="B44" t="s">
        <v>181</v>
      </c>
      <c r="C44" t="s">
        <v>182</v>
      </c>
      <c r="D44">
        <v>5</v>
      </c>
      <c r="E44" t="s">
        <v>41</v>
      </c>
      <c r="F44" t="s">
        <v>42</v>
      </c>
      <c r="G44" t="s">
        <v>42</v>
      </c>
      <c r="H44" t="s">
        <v>42</v>
      </c>
      <c r="I44" t="s">
        <v>43</v>
      </c>
      <c r="J44" t="s">
        <v>106</v>
      </c>
      <c r="K44">
        <v>61.5</v>
      </c>
      <c r="L44">
        <v>68</v>
      </c>
      <c r="M44">
        <v>40</v>
      </c>
      <c r="P44">
        <v>34</v>
      </c>
      <c r="R44">
        <v>39.5</v>
      </c>
      <c r="S44">
        <v>59</v>
      </c>
      <c r="T44">
        <v>41.5</v>
      </c>
      <c r="U44">
        <v>40</v>
      </c>
      <c r="AK44">
        <v>383.5</v>
      </c>
      <c r="AL44">
        <v>51.133333333333333</v>
      </c>
      <c r="AM44" t="s">
        <v>107</v>
      </c>
      <c r="CB44" t="s">
        <v>36</v>
      </c>
      <c r="CC44" t="s">
        <v>36</v>
      </c>
      <c r="CD44" t="s">
        <v>36</v>
      </c>
      <c r="CE44" t="s">
        <v>36</v>
      </c>
      <c r="CF44" t="s">
        <v>36</v>
      </c>
      <c r="CG44" t="s">
        <v>36</v>
      </c>
      <c r="CH44" t="s">
        <v>36</v>
      </c>
      <c r="CI44" t="s">
        <v>36</v>
      </c>
      <c r="CJ44" t="s">
        <v>36</v>
      </c>
    </row>
    <row r="45" spans="1:88" x14ac:dyDescent="0.35">
      <c r="A45" t="s">
        <v>183</v>
      </c>
      <c r="B45" t="s">
        <v>184</v>
      </c>
      <c r="C45" t="s">
        <v>185</v>
      </c>
      <c r="D45">
        <v>5</v>
      </c>
      <c r="E45" t="s">
        <v>41</v>
      </c>
      <c r="F45" t="s">
        <v>42</v>
      </c>
      <c r="G45" t="s">
        <v>42</v>
      </c>
      <c r="H45" t="s">
        <v>42</v>
      </c>
      <c r="I45" t="s">
        <v>43</v>
      </c>
      <c r="J45" t="s">
        <v>132</v>
      </c>
      <c r="K45">
        <v>55</v>
      </c>
      <c r="L45">
        <v>87</v>
      </c>
      <c r="M45">
        <v>71.5</v>
      </c>
      <c r="P45">
        <v>42.5</v>
      </c>
      <c r="R45">
        <v>63.5</v>
      </c>
      <c r="S45">
        <v>65</v>
      </c>
      <c r="T45">
        <v>37</v>
      </c>
      <c r="U45">
        <v>30</v>
      </c>
      <c r="AK45">
        <v>451.5</v>
      </c>
      <c r="AL45">
        <v>60.199999999999996</v>
      </c>
      <c r="AM45" t="s">
        <v>133</v>
      </c>
      <c r="CB45" t="s">
        <v>36</v>
      </c>
      <c r="CC45" t="s">
        <v>36</v>
      </c>
      <c r="CD45" t="s">
        <v>36</v>
      </c>
      <c r="CE45" t="s">
        <v>36</v>
      </c>
      <c r="CF45" t="s">
        <v>36</v>
      </c>
      <c r="CG45" t="s">
        <v>36</v>
      </c>
      <c r="CH45" t="s">
        <v>36</v>
      </c>
      <c r="CI45" t="s">
        <v>36</v>
      </c>
      <c r="CJ45" t="s">
        <v>36</v>
      </c>
    </row>
    <row r="46" spans="1:88" x14ac:dyDescent="0.35">
      <c r="A46" t="s">
        <v>186</v>
      </c>
      <c r="B46" t="s">
        <v>187</v>
      </c>
      <c r="C46" t="s">
        <v>188</v>
      </c>
      <c r="D46">
        <v>5</v>
      </c>
      <c r="E46" t="s">
        <v>41</v>
      </c>
      <c r="F46" t="s">
        <v>42</v>
      </c>
      <c r="G46" t="s">
        <v>189</v>
      </c>
      <c r="H46" t="s">
        <v>190</v>
      </c>
      <c r="I46" t="s">
        <v>43</v>
      </c>
      <c r="J46" t="s">
        <v>191</v>
      </c>
      <c r="K46">
        <v>43.5</v>
      </c>
      <c r="L46">
        <v>58</v>
      </c>
      <c r="M46">
        <v>54</v>
      </c>
      <c r="P46">
        <v>30</v>
      </c>
      <c r="R46">
        <v>50</v>
      </c>
      <c r="S46">
        <v>43.5</v>
      </c>
      <c r="T46">
        <v>36</v>
      </c>
      <c r="U46">
        <v>40</v>
      </c>
      <c r="AK46">
        <v>305</v>
      </c>
      <c r="AL46">
        <v>40.666666666666664</v>
      </c>
      <c r="AM46" t="s">
        <v>192</v>
      </c>
      <c r="CB46" t="s">
        <v>36</v>
      </c>
      <c r="CC46" t="s">
        <v>36</v>
      </c>
      <c r="CD46" t="s">
        <v>36</v>
      </c>
      <c r="CE46" t="s">
        <v>36</v>
      </c>
      <c r="CF46" t="s">
        <v>36</v>
      </c>
      <c r="CG46" t="s">
        <v>36</v>
      </c>
      <c r="CH46" t="s">
        <v>36</v>
      </c>
      <c r="CI46" t="s">
        <v>36</v>
      </c>
      <c r="CJ46" t="s">
        <v>36</v>
      </c>
    </row>
    <row r="47" spans="1:88" x14ac:dyDescent="0.35">
      <c r="A47" t="s">
        <v>193</v>
      </c>
      <c r="B47" t="s">
        <v>194</v>
      </c>
      <c r="C47" t="s">
        <v>195</v>
      </c>
      <c r="D47">
        <v>5</v>
      </c>
      <c r="E47" t="s">
        <v>41</v>
      </c>
      <c r="F47" t="s">
        <v>42</v>
      </c>
      <c r="G47" t="s">
        <v>42</v>
      </c>
      <c r="H47" t="s">
        <v>42</v>
      </c>
      <c r="I47" t="s">
        <v>43</v>
      </c>
      <c r="J47" t="s">
        <v>132</v>
      </c>
      <c r="K47">
        <v>85.5</v>
      </c>
      <c r="L47">
        <v>61.5</v>
      </c>
      <c r="M47">
        <v>84.5</v>
      </c>
      <c r="P47">
        <v>55</v>
      </c>
      <c r="R47">
        <v>59.5</v>
      </c>
      <c r="S47">
        <v>81</v>
      </c>
      <c r="T47">
        <v>42.5</v>
      </c>
      <c r="U47">
        <v>35</v>
      </c>
      <c r="AK47">
        <v>504.5</v>
      </c>
      <c r="AL47">
        <v>67.266666666666666</v>
      </c>
      <c r="AM47" t="s">
        <v>133</v>
      </c>
      <c r="CB47" t="s">
        <v>36</v>
      </c>
      <c r="CC47" t="s">
        <v>36</v>
      </c>
      <c r="CD47" t="s">
        <v>36</v>
      </c>
      <c r="CE47" t="s">
        <v>36</v>
      </c>
      <c r="CF47" t="s">
        <v>36</v>
      </c>
      <c r="CG47" t="s">
        <v>36</v>
      </c>
      <c r="CH47" t="s">
        <v>36</v>
      </c>
      <c r="CI47" t="s">
        <v>36</v>
      </c>
      <c r="CJ47" t="s">
        <v>36</v>
      </c>
    </row>
    <row r="48" spans="1:88" x14ac:dyDescent="0.35">
      <c r="A48" t="s">
        <v>196</v>
      </c>
      <c r="B48" t="s">
        <v>49</v>
      </c>
      <c r="C48" t="s">
        <v>170</v>
      </c>
      <c r="D48">
        <v>6</v>
      </c>
      <c r="E48" t="s">
        <v>41</v>
      </c>
      <c r="F48" t="s">
        <v>42</v>
      </c>
      <c r="G48" t="s">
        <v>42</v>
      </c>
      <c r="H48" t="s">
        <v>42</v>
      </c>
      <c r="I48" t="s">
        <v>43</v>
      </c>
      <c r="J48" t="s">
        <v>191</v>
      </c>
      <c r="K48">
        <v>33.5</v>
      </c>
      <c r="L48">
        <v>3</v>
      </c>
      <c r="M48">
        <v>32</v>
      </c>
      <c r="N48">
        <v>42</v>
      </c>
      <c r="P48">
        <v>48</v>
      </c>
      <c r="R48">
        <v>39</v>
      </c>
      <c r="S48">
        <v>30</v>
      </c>
      <c r="U48">
        <v>40</v>
      </c>
      <c r="AL48">
        <v>267.5</v>
      </c>
      <c r="AM48">
        <v>46.521739130434781</v>
      </c>
      <c r="AN48" t="s">
        <v>192</v>
      </c>
      <c r="CB48" t="s">
        <v>36</v>
      </c>
      <c r="CC48" t="s">
        <v>36</v>
      </c>
      <c r="CD48" t="s">
        <v>36</v>
      </c>
      <c r="CE48" t="s">
        <v>36</v>
      </c>
      <c r="CF48" t="s">
        <v>36</v>
      </c>
      <c r="CG48" t="s">
        <v>36</v>
      </c>
      <c r="CH48" t="s">
        <v>36</v>
      </c>
      <c r="CI48" t="s">
        <v>36</v>
      </c>
      <c r="CJ48" t="s">
        <v>36</v>
      </c>
    </row>
    <row r="49" spans="1:88" x14ac:dyDescent="0.35">
      <c r="A49" t="s">
        <v>197</v>
      </c>
      <c r="B49" t="s">
        <v>198</v>
      </c>
      <c r="C49" t="s">
        <v>199</v>
      </c>
      <c r="D49">
        <v>6</v>
      </c>
      <c r="E49" t="s">
        <v>41</v>
      </c>
      <c r="F49" t="s">
        <v>42</v>
      </c>
      <c r="G49" t="s">
        <v>42</v>
      </c>
      <c r="H49" t="s">
        <v>42</v>
      </c>
      <c r="I49" t="s">
        <v>43</v>
      </c>
      <c r="J49" t="s">
        <v>132</v>
      </c>
      <c r="K49">
        <v>66</v>
      </c>
      <c r="L49">
        <v>33</v>
      </c>
      <c r="M49">
        <v>39</v>
      </c>
      <c r="N49">
        <v>61</v>
      </c>
      <c r="P49">
        <v>63</v>
      </c>
      <c r="R49">
        <v>39</v>
      </c>
      <c r="S49">
        <v>58</v>
      </c>
      <c r="U49">
        <v>41</v>
      </c>
      <c r="AL49">
        <v>400</v>
      </c>
      <c r="AM49">
        <v>69.565217391304344</v>
      </c>
      <c r="AN49" t="s">
        <v>133</v>
      </c>
      <c r="CB49" t="s">
        <v>36</v>
      </c>
      <c r="CC49" t="s">
        <v>36</v>
      </c>
      <c r="CD49" t="s">
        <v>36</v>
      </c>
      <c r="CE49" t="s">
        <v>36</v>
      </c>
      <c r="CF49" t="s">
        <v>36</v>
      </c>
      <c r="CG49" t="s">
        <v>36</v>
      </c>
      <c r="CH49" t="s">
        <v>36</v>
      </c>
      <c r="CI49" t="s">
        <v>36</v>
      </c>
      <c r="CJ49" t="s">
        <v>36</v>
      </c>
    </row>
    <row r="50" spans="1:88" x14ac:dyDescent="0.35">
      <c r="A50" t="s">
        <v>200</v>
      </c>
      <c r="B50" t="s">
        <v>201</v>
      </c>
      <c r="C50" t="s">
        <v>157</v>
      </c>
      <c r="D50">
        <v>6</v>
      </c>
      <c r="E50" t="s">
        <v>41</v>
      </c>
      <c r="F50" t="s">
        <v>42</v>
      </c>
      <c r="G50" t="s">
        <v>42</v>
      </c>
      <c r="H50" t="s">
        <v>42</v>
      </c>
      <c r="I50" t="s">
        <v>43</v>
      </c>
      <c r="J50" t="s">
        <v>44</v>
      </c>
      <c r="K50">
        <v>62.5</v>
      </c>
      <c r="L50">
        <v>40</v>
      </c>
      <c r="M50">
        <v>70</v>
      </c>
      <c r="N50">
        <v>59.5</v>
      </c>
      <c r="P50">
        <v>68</v>
      </c>
      <c r="R50">
        <v>40</v>
      </c>
      <c r="S50">
        <v>74</v>
      </c>
      <c r="U50">
        <v>49</v>
      </c>
      <c r="AL50">
        <v>463</v>
      </c>
      <c r="AM50">
        <v>80.521739130434781</v>
      </c>
      <c r="AN50" t="s">
        <v>45</v>
      </c>
      <c r="CB50" t="s">
        <v>36</v>
      </c>
      <c r="CC50" t="s">
        <v>36</v>
      </c>
      <c r="CD50" t="s">
        <v>36</v>
      </c>
      <c r="CE50" t="s">
        <v>36</v>
      </c>
      <c r="CF50" t="s">
        <v>36</v>
      </c>
      <c r="CG50" t="s">
        <v>36</v>
      </c>
      <c r="CH50" t="s">
        <v>36</v>
      </c>
      <c r="CI50" t="s">
        <v>36</v>
      </c>
      <c r="CJ50" t="s">
        <v>36</v>
      </c>
    </row>
    <row r="51" spans="1:88" x14ac:dyDescent="0.35">
      <c r="A51" t="s">
        <v>202</v>
      </c>
      <c r="B51" t="s">
        <v>203</v>
      </c>
      <c r="C51" t="s">
        <v>204</v>
      </c>
      <c r="D51">
        <v>6</v>
      </c>
      <c r="E51" t="s">
        <v>41</v>
      </c>
      <c r="F51" t="s">
        <v>42</v>
      </c>
      <c r="G51" t="s">
        <v>42</v>
      </c>
      <c r="H51" t="s">
        <v>42</v>
      </c>
      <c r="I51" t="s">
        <v>54</v>
      </c>
      <c r="J51" t="s">
        <v>191</v>
      </c>
      <c r="K51">
        <v>33</v>
      </c>
      <c r="L51">
        <v>25</v>
      </c>
      <c r="M51">
        <v>35</v>
      </c>
      <c r="N51">
        <v>45</v>
      </c>
      <c r="P51">
        <v>37</v>
      </c>
      <c r="R51">
        <v>11</v>
      </c>
      <c r="S51">
        <v>39</v>
      </c>
      <c r="U51">
        <v>35</v>
      </c>
      <c r="AL51">
        <v>260</v>
      </c>
      <c r="AM51">
        <v>45.217391304347828</v>
      </c>
      <c r="AN51" t="s">
        <v>192</v>
      </c>
      <c r="CB51" t="s">
        <v>36</v>
      </c>
      <c r="CC51" t="s">
        <v>36</v>
      </c>
      <c r="CD51" t="s">
        <v>36</v>
      </c>
      <c r="CE51" t="s">
        <v>36</v>
      </c>
      <c r="CF51" t="s">
        <v>36</v>
      </c>
      <c r="CG51" t="s">
        <v>36</v>
      </c>
      <c r="CH51" t="s">
        <v>36</v>
      </c>
      <c r="CI51" t="s">
        <v>36</v>
      </c>
      <c r="CJ51" t="s">
        <v>36</v>
      </c>
    </row>
    <row r="52" spans="1:88" x14ac:dyDescent="0.35">
      <c r="A52" t="s">
        <v>205</v>
      </c>
      <c r="B52" t="s">
        <v>206</v>
      </c>
      <c r="C52" t="s">
        <v>207</v>
      </c>
      <c r="D52">
        <v>6</v>
      </c>
      <c r="E52" t="s">
        <v>41</v>
      </c>
      <c r="F52" t="s">
        <v>42</v>
      </c>
      <c r="G52" t="s">
        <v>42</v>
      </c>
      <c r="H52" t="s">
        <v>42</v>
      </c>
      <c r="I52" t="s">
        <v>54</v>
      </c>
      <c r="J52" t="s">
        <v>106</v>
      </c>
      <c r="K52">
        <v>39</v>
      </c>
      <c r="L52">
        <v>25</v>
      </c>
      <c r="M52">
        <v>38</v>
      </c>
      <c r="N52">
        <v>46</v>
      </c>
      <c r="P52">
        <v>46</v>
      </c>
      <c r="R52">
        <v>32</v>
      </c>
      <c r="S52">
        <v>40</v>
      </c>
      <c r="U52">
        <v>48</v>
      </c>
      <c r="AL52">
        <v>314</v>
      </c>
      <c r="AM52">
        <v>54.608695652173914</v>
      </c>
      <c r="AN52" t="s">
        <v>107</v>
      </c>
      <c r="CB52" t="s">
        <v>36</v>
      </c>
      <c r="CC52" t="s">
        <v>36</v>
      </c>
      <c r="CD52" t="s">
        <v>36</v>
      </c>
      <c r="CE52" t="s">
        <v>36</v>
      </c>
      <c r="CF52" t="s">
        <v>36</v>
      </c>
      <c r="CG52" t="s">
        <v>36</v>
      </c>
      <c r="CH52" t="s">
        <v>36</v>
      </c>
      <c r="CI52" t="s">
        <v>36</v>
      </c>
      <c r="CJ52" t="s">
        <v>36</v>
      </c>
    </row>
    <row r="53" spans="1:88" x14ac:dyDescent="0.35">
      <c r="A53" t="s">
        <v>208</v>
      </c>
      <c r="B53" t="s">
        <v>209</v>
      </c>
      <c r="C53" t="s">
        <v>136</v>
      </c>
      <c r="D53">
        <v>6</v>
      </c>
      <c r="E53" t="s">
        <v>41</v>
      </c>
      <c r="F53" t="s">
        <v>210</v>
      </c>
      <c r="G53" t="s">
        <v>211</v>
      </c>
      <c r="H53">
        <v>45750</v>
      </c>
      <c r="I53" t="s">
        <v>54</v>
      </c>
      <c r="J53" t="s">
        <v>44</v>
      </c>
      <c r="K53">
        <v>58</v>
      </c>
      <c r="L53">
        <v>54</v>
      </c>
      <c r="M53">
        <v>60</v>
      </c>
      <c r="N53">
        <v>42.5</v>
      </c>
      <c r="P53">
        <v>62.5</v>
      </c>
      <c r="R53">
        <v>45</v>
      </c>
      <c r="S53">
        <v>68.5</v>
      </c>
      <c r="U53">
        <v>49</v>
      </c>
      <c r="AL53">
        <v>469.5</v>
      </c>
      <c r="AM53">
        <v>81.652173913043484</v>
      </c>
      <c r="AN53" t="s">
        <v>45</v>
      </c>
      <c r="CB53" t="s">
        <v>36</v>
      </c>
      <c r="CC53" t="s">
        <v>36</v>
      </c>
      <c r="CD53" t="s">
        <v>36</v>
      </c>
      <c r="CE53" t="s">
        <v>36</v>
      </c>
      <c r="CF53" t="s">
        <v>36</v>
      </c>
      <c r="CG53" t="s">
        <v>36</v>
      </c>
      <c r="CH53" t="s">
        <v>36</v>
      </c>
      <c r="CI53" t="s">
        <v>36</v>
      </c>
      <c r="CJ53" t="s">
        <v>36</v>
      </c>
    </row>
    <row r="54" spans="1:88" x14ac:dyDescent="0.35">
      <c r="A54" t="s">
        <v>212</v>
      </c>
      <c r="B54" t="s">
        <v>213</v>
      </c>
      <c r="C54" t="s">
        <v>157</v>
      </c>
      <c r="D54">
        <v>7</v>
      </c>
      <c r="E54" t="s">
        <v>41</v>
      </c>
      <c r="F54" t="s">
        <v>42</v>
      </c>
      <c r="G54" t="s">
        <v>42</v>
      </c>
      <c r="H54" t="s">
        <v>42</v>
      </c>
      <c r="I54" t="s">
        <v>43</v>
      </c>
      <c r="J54" t="s">
        <v>111</v>
      </c>
      <c r="K54">
        <v>54</v>
      </c>
      <c r="L54">
        <v>49</v>
      </c>
      <c r="M54">
        <v>60</v>
      </c>
      <c r="N54">
        <v>45</v>
      </c>
      <c r="P54">
        <v>53</v>
      </c>
      <c r="R54">
        <v>40</v>
      </c>
      <c r="S54">
        <v>70</v>
      </c>
      <c r="U54">
        <v>45</v>
      </c>
      <c r="AL54">
        <v>416</v>
      </c>
      <c r="AM54">
        <v>72.34782608695653</v>
      </c>
      <c r="AN54" t="s">
        <v>97</v>
      </c>
      <c r="CB54" t="s">
        <v>36</v>
      </c>
      <c r="CC54" t="s">
        <v>36</v>
      </c>
      <c r="CD54" t="s">
        <v>36</v>
      </c>
      <c r="CE54" t="s">
        <v>36</v>
      </c>
      <c r="CF54" t="s">
        <v>36</v>
      </c>
      <c r="CG54" t="s">
        <v>36</v>
      </c>
      <c r="CH54" t="s">
        <v>36</v>
      </c>
      <c r="CI54" t="s">
        <v>36</v>
      </c>
      <c r="CJ54" t="s">
        <v>36</v>
      </c>
    </row>
    <row r="55" spans="1:88" x14ac:dyDescent="0.35">
      <c r="A55" t="s">
        <v>214</v>
      </c>
      <c r="B55" t="s">
        <v>215</v>
      </c>
      <c r="C55" t="s">
        <v>216</v>
      </c>
      <c r="D55">
        <v>7</v>
      </c>
      <c r="E55" t="s">
        <v>41</v>
      </c>
      <c r="F55" t="s">
        <v>42</v>
      </c>
      <c r="G55" t="s">
        <v>42</v>
      </c>
      <c r="H55" t="s">
        <v>42</v>
      </c>
      <c r="I55" t="s">
        <v>43</v>
      </c>
      <c r="J55" t="s">
        <v>44</v>
      </c>
      <c r="K55">
        <v>64</v>
      </c>
      <c r="L55">
        <v>65</v>
      </c>
      <c r="M55">
        <v>71</v>
      </c>
      <c r="N55">
        <v>71</v>
      </c>
      <c r="P55">
        <v>48</v>
      </c>
      <c r="R55">
        <v>63</v>
      </c>
      <c r="S55">
        <v>74</v>
      </c>
      <c r="U55">
        <v>44</v>
      </c>
      <c r="AL55">
        <v>500</v>
      </c>
      <c r="AM55">
        <v>86.956521739130437</v>
      </c>
      <c r="AN55" t="s">
        <v>45</v>
      </c>
      <c r="CB55" t="s">
        <v>36</v>
      </c>
      <c r="CC55" t="s">
        <v>36</v>
      </c>
      <c r="CD55" t="s">
        <v>36</v>
      </c>
      <c r="CE55" t="s">
        <v>36</v>
      </c>
      <c r="CF55" t="s">
        <v>36</v>
      </c>
      <c r="CG55" t="s">
        <v>36</v>
      </c>
      <c r="CH55" t="s">
        <v>36</v>
      </c>
      <c r="CI55" t="s">
        <v>36</v>
      </c>
      <c r="CJ55" t="s">
        <v>36</v>
      </c>
    </row>
    <row r="56" spans="1:88" x14ac:dyDescent="0.35">
      <c r="A56" t="s">
        <v>217</v>
      </c>
      <c r="B56" t="s">
        <v>218</v>
      </c>
      <c r="C56" t="s">
        <v>188</v>
      </c>
      <c r="D56">
        <v>7</v>
      </c>
      <c r="E56" t="s">
        <v>41</v>
      </c>
      <c r="F56" t="s">
        <v>42</v>
      </c>
      <c r="G56" t="s">
        <v>219</v>
      </c>
      <c r="H56" t="s">
        <v>190</v>
      </c>
      <c r="I56" t="s">
        <v>54</v>
      </c>
      <c r="J56" t="s">
        <v>44</v>
      </c>
      <c r="K56">
        <v>70.5</v>
      </c>
      <c r="L56">
        <v>37</v>
      </c>
      <c r="M56">
        <v>45</v>
      </c>
      <c r="N56">
        <v>70</v>
      </c>
      <c r="P56">
        <v>60</v>
      </c>
      <c r="R56">
        <v>50</v>
      </c>
      <c r="S56">
        <v>83</v>
      </c>
      <c r="U56">
        <v>49</v>
      </c>
      <c r="AL56">
        <v>464.5</v>
      </c>
      <c r="AM56">
        <v>80.782608695652172</v>
      </c>
      <c r="AN56" t="s">
        <v>45</v>
      </c>
      <c r="CB56" t="s">
        <v>36</v>
      </c>
      <c r="CC56" t="s">
        <v>36</v>
      </c>
      <c r="CD56" t="s">
        <v>36</v>
      </c>
      <c r="CE56" t="s">
        <v>36</v>
      </c>
      <c r="CF56" t="s">
        <v>36</v>
      </c>
      <c r="CG56" t="s">
        <v>36</v>
      </c>
      <c r="CH56" t="s">
        <v>36</v>
      </c>
      <c r="CI56" t="s">
        <v>36</v>
      </c>
      <c r="CJ56" t="s">
        <v>36</v>
      </c>
    </row>
    <row r="57" spans="1:88" x14ac:dyDescent="0.35">
      <c r="A57" t="s">
        <v>220</v>
      </c>
      <c r="B57" t="s">
        <v>221</v>
      </c>
      <c r="C57" t="s">
        <v>222</v>
      </c>
      <c r="D57">
        <v>7</v>
      </c>
      <c r="E57" t="s">
        <v>41</v>
      </c>
      <c r="F57" t="s">
        <v>42</v>
      </c>
      <c r="G57" t="s">
        <v>42</v>
      </c>
      <c r="H57" t="s">
        <v>42</v>
      </c>
      <c r="I57" t="s">
        <v>54</v>
      </c>
      <c r="J57" t="s">
        <v>106</v>
      </c>
      <c r="K57">
        <v>37</v>
      </c>
      <c r="L57">
        <v>29</v>
      </c>
      <c r="M57">
        <v>31</v>
      </c>
      <c r="N57">
        <v>35</v>
      </c>
      <c r="P57">
        <v>34</v>
      </c>
      <c r="R57">
        <v>30</v>
      </c>
      <c r="S57">
        <v>61</v>
      </c>
      <c r="U57">
        <v>40</v>
      </c>
      <c r="AL57">
        <v>297</v>
      </c>
      <c r="AM57">
        <v>51.652173913043477</v>
      </c>
      <c r="AN57" t="s">
        <v>107</v>
      </c>
      <c r="CB57" t="s">
        <v>36</v>
      </c>
      <c r="CC57" t="s">
        <v>36</v>
      </c>
      <c r="CD57" t="s">
        <v>36</v>
      </c>
      <c r="CE57" t="s">
        <v>36</v>
      </c>
      <c r="CF57" t="s">
        <v>36</v>
      </c>
      <c r="CG57" t="s">
        <v>36</v>
      </c>
      <c r="CH57" t="s">
        <v>36</v>
      </c>
      <c r="CI57" t="s">
        <v>36</v>
      </c>
      <c r="CJ57" t="s">
        <v>36</v>
      </c>
    </row>
    <row r="58" spans="1:88" x14ac:dyDescent="0.35">
      <c r="A58" t="s">
        <v>223</v>
      </c>
      <c r="B58" t="s">
        <v>113</v>
      </c>
      <c r="C58" t="s">
        <v>160</v>
      </c>
      <c r="D58">
        <v>7</v>
      </c>
      <c r="E58" t="s">
        <v>41</v>
      </c>
      <c r="F58" t="s">
        <v>42</v>
      </c>
      <c r="G58" t="s">
        <v>42</v>
      </c>
      <c r="H58" t="s">
        <v>42</v>
      </c>
      <c r="I58" t="s">
        <v>54</v>
      </c>
      <c r="J58" t="s">
        <v>44</v>
      </c>
      <c r="K58">
        <v>70</v>
      </c>
      <c r="L58">
        <v>55</v>
      </c>
      <c r="M58">
        <v>73</v>
      </c>
      <c r="N58">
        <v>70</v>
      </c>
      <c r="P58">
        <v>70</v>
      </c>
      <c r="R58">
        <v>68</v>
      </c>
      <c r="S58">
        <v>71</v>
      </c>
      <c r="U58">
        <v>50</v>
      </c>
      <c r="AL58">
        <v>527</v>
      </c>
      <c r="AM58">
        <v>91.652173913043484</v>
      </c>
      <c r="AN58" t="s">
        <v>45</v>
      </c>
      <c r="CB58" t="s">
        <v>36</v>
      </c>
      <c r="CC58" t="s">
        <v>36</v>
      </c>
      <c r="CD58" t="s">
        <v>36</v>
      </c>
      <c r="CE58" t="s">
        <v>36</v>
      </c>
      <c r="CF58" t="s">
        <v>36</v>
      </c>
      <c r="CG58" t="s">
        <v>36</v>
      </c>
      <c r="CH58" t="s">
        <v>36</v>
      </c>
      <c r="CI58" t="s">
        <v>36</v>
      </c>
      <c r="CJ58" t="s">
        <v>36</v>
      </c>
    </row>
    <row r="59" spans="1:88" x14ac:dyDescent="0.35">
      <c r="A59" t="s">
        <v>224</v>
      </c>
      <c r="B59" t="s">
        <v>225</v>
      </c>
      <c r="C59" t="s">
        <v>226</v>
      </c>
      <c r="D59">
        <v>7</v>
      </c>
      <c r="E59" t="s">
        <v>41</v>
      </c>
      <c r="F59" t="s">
        <v>227</v>
      </c>
      <c r="G59" t="s">
        <v>228</v>
      </c>
      <c r="H59">
        <v>45327</v>
      </c>
      <c r="I59" t="s">
        <v>54</v>
      </c>
      <c r="J59" t="s">
        <v>111</v>
      </c>
      <c r="K59">
        <v>56</v>
      </c>
      <c r="L59">
        <v>40</v>
      </c>
      <c r="M59">
        <v>68</v>
      </c>
      <c r="N59">
        <v>68</v>
      </c>
      <c r="P59">
        <v>53</v>
      </c>
      <c r="R59">
        <v>51</v>
      </c>
      <c r="S59">
        <v>73</v>
      </c>
      <c r="U59">
        <v>45</v>
      </c>
      <c r="AL59">
        <v>454</v>
      </c>
      <c r="AM59">
        <v>78.956521739130437</v>
      </c>
      <c r="AN59" t="s">
        <v>97</v>
      </c>
      <c r="CB59" t="s">
        <v>36</v>
      </c>
      <c r="CC59" t="s">
        <v>36</v>
      </c>
      <c r="CD59" t="s">
        <v>36</v>
      </c>
      <c r="CE59" t="s">
        <v>36</v>
      </c>
      <c r="CF59" t="s">
        <v>36</v>
      </c>
      <c r="CG59" t="s">
        <v>36</v>
      </c>
      <c r="CH59" t="s">
        <v>36</v>
      </c>
      <c r="CI59" t="s">
        <v>36</v>
      </c>
      <c r="CJ59" t="s">
        <v>36</v>
      </c>
    </row>
    <row r="60" spans="1:88" x14ac:dyDescent="0.35">
      <c r="A60" t="s">
        <v>229</v>
      </c>
      <c r="B60" t="s">
        <v>230</v>
      </c>
      <c r="C60" t="s">
        <v>157</v>
      </c>
      <c r="D60">
        <v>8</v>
      </c>
      <c r="E60" t="s">
        <v>41</v>
      </c>
      <c r="F60" t="s">
        <v>42</v>
      </c>
      <c r="G60" t="s">
        <v>42</v>
      </c>
      <c r="H60" t="s">
        <v>42</v>
      </c>
      <c r="I60" t="s">
        <v>43</v>
      </c>
      <c r="J60" t="s">
        <v>132</v>
      </c>
      <c r="K60">
        <v>48.5</v>
      </c>
      <c r="L60">
        <v>74</v>
      </c>
      <c r="M60">
        <v>40</v>
      </c>
      <c r="R60">
        <v>33.5</v>
      </c>
      <c r="S60">
        <v>42</v>
      </c>
      <c r="W60">
        <v>32</v>
      </c>
      <c r="X60">
        <v>24</v>
      </c>
      <c r="AB60">
        <v>25</v>
      </c>
      <c r="AM60">
        <v>319</v>
      </c>
      <c r="AN60">
        <v>62.549019607843135</v>
      </c>
      <c r="AO60" t="s">
        <v>133</v>
      </c>
      <c r="CB60" t="s">
        <v>36</v>
      </c>
      <c r="CC60" t="s">
        <v>36</v>
      </c>
      <c r="CD60" t="s">
        <v>36</v>
      </c>
      <c r="CE60" t="s">
        <v>36</v>
      </c>
      <c r="CF60" t="s">
        <v>36</v>
      </c>
      <c r="CG60" t="s">
        <v>36</v>
      </c>
      <c r="CH60" t="s">
        <v>36</v>
      </c>
      <c r="CI60" t="s">
        <v>36</v>
      </c>
      <c r="CJ60" t="s">
        <v>36</v>
      </c>
    </row>
    <row r="61" spans="1:88" x14ac:dyDescent="0.35">
      <c r="A61" t="s">
        <v>231</v>
      </c>
      <c r="B61" t="s">
        <v>232</v>
      </c>
      <c r="C61" t="s">
        <v>233</v>
      </c>
      <c r="D61">
        <v>8</v>
      </c>
      <c r="E61" t="s">
        <v>41</v>
      </c>
      <c r="F61" t="s">
        <v>42</v>
      </c>
      <c r="G61" t="s">
        <v>42</v>
      </c>
      <c r="H61" t="s">
        <v>42</v>
      </c>
      <c r="I61" t="s">
        <v>43</v>
      </c>
      <c r="J61" t="s">
        <v>96</v>
      </c>
      <c r="K61">
        <v>27</v>
      </c>
      <c r="L61">
        <v>5</v>
      </c>
      <c r="M61">
        <v>35</v>
      </c>
      <c r="R61">
        <v>37</v>
      </c>
      <c r="S61">
        <v>20</v>
      </c>
      <c r="W61">
        <v>31</v>
      </c>
      <c r="X61">
        <v>17</v>
      </c>
      <c r="AB61">
        <v>27</v>
      </c>
      <c r="AM61">
        <v>199</v>
      </c>
      <c r="AN61">
        <v>39.019607843137258</v>
      </c>
      <c r="AO61" t="s">
        <v>114</v>
      </c>
      <c r="CB61" t="s">
        <v>36</v>
      </c>
      <c r="CC61" t="s">
        <v>36</v>
      </c>
      <c r="CD61" t="s">
        <v>36</v>
      </c>
      <c r="CE61" t="s">
        <v>36</v>
      </c>
      <c r="CF61" t="s">
        <v>36</v>
      </c>
      <c r="CG61" t="s">
        <v>36</v>
      </c>
      <c r="CH61" t="s">
        <v>36</v>
      </c>
      <c r="CI61" t="s">
        <v>36</v>
      </c>
      <c r="CJ61" t="s">
        <v>36</v>
      </c>
    </row>
    <row r="62" spans="1:88" x14ac:dyDescent="0.35">
      <c r="A62" t="s">
        <v>234</v>
      </c>
      <c r="B62" t="s">
        <v>235</v>
      </c>
      <c r="C62" t="s">
        <v>236</v>
      </c>
      <c r="D62">
        <v>8</v>
      </c>
      <c r="E62" t="s">
        <v>41</v>
      </c>
      <c r="F62" t="s">
        <v>42</v>
      </c>
      <c r="G62" t="s">
        <v>42</v>
      </c>
      <c r="H62" t="s">
        <v>42</v>
      </c>
      <c r="I62" t="s">
        <v>54</v>
      </c>
      <c r="J62" t="s">
        <v>106</v>
      </c>
      <c r="K62">
        <v>51.5</v>
      </c>
      <c r="L62">
        <v>46</v>
      </c>
      <c r="M62">
        <v>36.5</v>
      </c>
      <c r="R62">
        <v>34</v>
      </c>
      <c r="S62">
        <v>38</v>
      </c>
      <c r="W62">
        <v>22</v>
      </c>
      <c r="X62">
        <v>27</v>
      </c>
      <c r="AB62">
        <v>30.5</v>
      </c>
      <c r="AM62">
        <v>285.5</v>
      </c>
      <c r="AN62">
        <v>55.980392156862749</v>
      </c>
      <c r="AO62" t="s">
        <v>107</v>
      </c>
      <c r="CB62" t="s">
        <v>36</v>
      </c>
      <c r="CC62" t="s">
        <v>36</v>
      </c>
      <c r="CD62" t="s">
        <v>36</v>
      </c>
      <c r="CE62" t="s">
        <v>36</v>
      </c>
      <c r="CF62" t="s">
        <v>36</v>
      </c>
      <c r="CG62" t="s">
        <v>36</v>
      </c>
      <c r="CH62" t="s">
        <v>36</v>
      </c>
      <c r="CI62" t="s">
        <v>36</v>
      </c>
      <c r="CJ62" t="s">
        <v>36</v>
      </c>
    </row>
    <row r="63" spans="1:88" x14ac:dyDescent="0.35">
      <c r="A63" t="s">
        <v>237</v>
      </c>
      <c r="B63" t="s">
        <v>238</v>
      </c>
      <c r="C63" t="s">
        <v>239</v>
      </c>
      <c r="D63">
        <v>8</v>
      </c>
      <c r="E63" t="s">
        <v>41</v>
      </c>
      <c r="F63" t="s">
        <v>42</v>
      </c>
      <c r="G63" t="s">
        <v>42</v>
      </c>
      <c r="H63" t="s">
        <v>42</v>
      </c>
      <c r="I63" t="s">
        <v>54</v>
      </c>
      <c r="J63" t="s">
        <v>106</v>
      </c>
      <c r="K63">
        <v>59.5</v>
      </c>
      <c r="L63">
        <v>48</v>
      </c>
      <c r="M63">
        <v>30</v>
      </c>
      <c r="R63">
        <v>35</v>
      </c>
      <c r="S63">
        <v>41</v>
      </c>
      <c r="W63">
        <v>29</v>
      </c>
      <c r="X63">
        <v>26</v>
      </c>
      <c r="AB63">
        <v>30</v>
      </c>
      <c r="AM63">
        <v>298.5</v>
      </c>
      <c r="AN63">
        <v>58.529411764705884</v>
      </c>
      <c r="AO63" t="s">
        <v>107</v>
      </c>
      <c r="CB63" t="s">
        <v>36</v>
      </c>
      <c r="CC63" t="s">
        <v>36</v>
      </c>
      <c r="CD63" t="s">
        <v>36</v>
      </c>
      <c r="CE63" t="s">
        <v>36</v>
      </c>
      <c r="CF63" t="s">
        <v>36</v>
      </c>
      <c r="CG63" t="s">
        <v>36</v>
      </c>
      <c r="CH63" t="s">
        <v>36</v>
      </c>
      <c r="CI63" t="s">
        <v>36</v>
      </c>
      <c r="CJ63" t="s">
        <v>36</v>
      </c>
    </row>
    <row r="64" spans="1:88" x14ac:dyDescent="0.35">
      <c r="A64" t="s">
        <v>240</v>
      </c>
      <c r="B64" t="s">
        <v>241</v>
      </c>
      <c r="C64" t="s">
        <v>136</v>
      </c>
      <c r="D64">
        <v>8</v>
      </c>
      <c r="E64" t="s">
        <v>41</v>
      </c>
      <c r="F64" t="s">
        <v>242</v>
      </c>
      <c r="G64" t="s">
        <v>243</v>
      </c>
      <c r="H64">
        <v>45750</v>
      </c>
      <c r="I64" t="s">
        <v>54</v>
      </c>
      <c r="J64" t="s">
        <v>106</v>
      </c>
      <c r="K64">
        <v>60</v>
      </c>
      <c r="L64">
        <v>49</v>
      </c>
      <c r="M64">
        <v>40</v>
      </c>
      <c r="R64">
        <v>34</v>
      </c>
      <c r="S64">
        <v>30</v>
      </c>
      <c r="W64">
        <v>28</v>
      </c>
      <c r="X64">
        <v>25</v>
      </c>
      <c r="AB64">
        <v>27</v>
      </c>
      <c r="AM64">
        <v>293</v>
      </c>
      <c r="AN64">
        <v>57.450980392156858</v>
      </c>
      <c r="AO64" t="s">
        <v>107</v>
      </c>
      <c r="CB64" t="s">
        <v>36</v>
      </c>
      <c r="CC64" t="s">
        <v>36</v>
      </c>
      <c r="CD64" t="s">
        <v>36</v>
      </c>
      <c r="CE64" t="s">
        <v>36</v>
      </c>
      <c r="CF64" t="s">
        <v>36</v>
      </c>
      <c r="CG64" t="s">
        <v>36</v>
      </c>
      <c r="CH64" t="s">
        <v>36</v>
      </c>
      <c r="CI64" t="s">
        <v>36</v>
      </c>
      <c r="CJ64" t="s">
        <v>36</v>
      </c>
    </row>
    <row r="65" spans="1:88" x14ac:dyDescent="0.35">
      <c r="A65" t="s">
        <v>244</v>
      </c>
      <c r="B65" t="s">
        <v>245</v>
      </c>
      <c r="C65" t="s">
        <v>188</v>
      </c>
      <c r="D65">
        <v>8</v>
      </c>
      <c r="E65" t="s">
        <v>41</v>
      </c>
      <c r="F65" t="s">
        <v>246</v>
      </c>
      <c r="G65" t="s">
        <v>247</v>
      </c>
      <c r="H65" t="s">
        <v>248</v>
      </c>
      <c r="I65" t="s">
        <v>54</v>
      </c>
      <c r="J65" t="s">
        <v>111</v>
      </c>
      <c r="K65">
        <v>70</v>
      </c>
      <c r="L65">
        <v>44</v>
      </c>
      <c r="M65">
        <v>49.5</v>
      </c>
      <c r="R65">
        <v>42</v>
      </c>
      <c r="S65">
        <v>65.5</v>
      </c>
      <c r="W65">
        <v>46.5</v>
      </c>
      <c r="X65">
        <v>47</v>
      </c>
      <c r="AB65">
        <v>36</v>
      </c>
      <c r="AM65">
        <v>400.5</v>
      </c>
      <c r="AN65">
        <v>78.529411764705884</v>
      </c>
      <c r="AO65" t="s">
        <v>97</v>
      </c>
      <c r="CB65" t="s">
        <v>36</v>
      </c>
      <c r="CC65" t="s">
        <v>36</v>
      </c>
      <c r="CD65" t="s">
        <v>36</v>
      </c>
      <c r="CE65" t="s">
        <v>36</v>
      </c>
      <c r="CF65" t="s">
        <v>36</v>
      </c>
      <c r="CG65" t="s">
        <v>36</v>
      </c>
      <c r="CH65" t="s">
        <v>36</v>
      </c>
      <c r="CI65" t="s">
        <v>36</v>
      </c>
      <c r="CJ65" t="s">
        <v>36</v>
      </c>
    </row>
    <row r="66" spans="1:88" x14ac:dyDescent="0.35">
      <c r="A66" t="s">
        <v>249</v>
      </c>
      <c r="B66" t="s">
        <v>250</v>
      </c>
      <c r="C66" t="s">
        <v>251</v>
      </c>
      <c r="D66">
        <v>8</v>
      </c>
      <c r="E66" t="s">
        <v>41</v>
      </c>
      <c r="F66" t="s">
        <v>42</v>
      </c>
      <c r="G66" t="s">
        <v>42</v>
      </c>
      <c r="H66" t="s">
        <v>42</v>
      </c>
      <c r="I66" t="s">
        <v>54</v>
      </c>
      <c r="J66" t="s">
        <v>106</v>
      </c>
      <c r="K66">
        <v>56</v>
      </c>
      <c r="L66">
        <v>22</v>
      </c>
      <c r="M66">
        <v>48.5</v>
      </c>
      <c r="R66">
        <v>30</v>
      </c>
      <c r="S66">
        <v>28</v>
      </c>
      <c r="W66">
        <v>33</v>
      </c>
      <c r="X66">
        <v>29</v>
      </c>
      <c r="AB66">
        <v>27</v>
      </c>
      <c r="AM66">
        <v>273.5</v>
      </c>
      <c r="AN66">
        <v>53.627450980392155</v>
      </c>
      <c r="AO66" t="s">
        <v>107</v>
      </c>
      <c r="CB66" t="s">
        <v>36</v>
      </c>
      <c r="CC66" t="s">
        <v>36</v>
      </c>
      <c r="CD66" t="s">
        <v>36</v>
      </c>
      <c r="CE66" t="s">
        <v>36</v>
      </c>
      <c r="CF66" t="s">
        <v>36</v>
      </c>
      <c r="CG66" t="s">
        <v>36</v>
      </c>
      <c r="CH66" t="s">
        <v>36</v>
      </c>
      <c r="CI66" t="s">
        <v>36</v>
      </c>
      <c r="CJ66" t="s">
        <v>36</v>
      </c>
    </row>
    <row r="67" spans="1:88" x14ac:dyDescent="0.35">
      <c r="A67" t="s">
        <v>252</v>
      </c>
      <c r="B67" t="s">
        <v>253</v>
      </c>
      <c r="C67" t="s">
        <v>254</v>
      </c>
      <c r="D67" t="s">
        <v>255</v>
      </c>
      <c r="E67" t="s">
        <v>41</v>
      </c>
      <c r="F67" t="s">
        <v>42</v>
      </c>
      <c r="G67" t="s">
        <v>42</v>
      </c>
      <c r="H67" t="s">
        <v>42</v>
      </c>
      <c r="I67" t="s">
        <v>54</v>
      </c>
      <c r="J67" t="s">
        <v>96</v>
      </c>
      <c r="K67">
        <v>15</v>
      </c>
      <c r="L67">
        <v>2</v>
      </c>
      <c r="P67">
        <v>0</v>
      </c>
      <c r="R67">
        <v>28</v>
      </c>
      <c r="AB67">
        <v>8</v>
      </c>
      <c r="AK67">
        <v>53</v>
      </c>
      <c r="AL67">
        <v>10.291262135922331</v>
      </c>
      <c r="AM67" t="s">
        <v>114</v>
      </c>
      <c r="CB67" t="s">
        <v>36</v>
      </c>
      <c r="CC67" t="s">
        <v>36</v>
      </c>
      <c r="CD67" t="s">
        <v>36</v>
      </c>
      <c r="CE67" t="s">
        <v>36</v>
      </c>
      <c r="CF67" t="s">
        <v>36</v>
      </c>
      <c r="CG67" t="s">
        <v>36</v>
      </c>
      <c r="CH67" t="s">
        <v>36</v>
      </c>
      <c r="CI67" t="s">
        <v>36</v>
      </c>
      <c r="CJ67" t="s">
        <v>36</v>
      </c>
    </row>
    <row r="68" spans="1:88" x14ac:dyDescent="0.35">
      <c r="A68" t="s">
        <v>256</v>
      </c>
      <c r="B68" t="s">
        <v>257</v>
      </c>
      <c r="C68" t="s">
        <v>185</v>
      </c>
      <c r="D68" t="s">
        <v>255</v>
      </c>
      <c r="E68" t="s">
        <v>41</v>
      </c>
      <c r="F68" t="s">
        <v>42</v>
      </c>
      <c r="G68" t="s">
        <v>42</v>
      </c>
      <c r="H68" t="s">
        <v>42</v>
      </c>
      <c r="I68" t="s">
        <v>54</v>
      </c>
      <c r="J68" t="s">
        <v>111</v>
      </c>
      <c r="K68">
        <v>59.5</v>
      </c>
      <c r="L68">
        <v>67.5</v>
      </c>
      <c r="M68">
        <v>54.5</v>
      </c>
      <c r="P68">
        <v>58</v>
      </c>
      <c r="Q68">
        <v>42</v>
      </c>
      <c r="R68">
        <v>41.5</v>
      </c>
      <c r="Y68">
        <v>48</v>
      </c>
      <c r="AB68">
        <v>37</v>
      </c>
      <c r="AK68">
        <v>408</v>
      </c>
      <c r="AL68">
        <v>79.223300970873794</v>
      </c>
      <c r="AM68" t="s">
        <v>97</v>
      </c>
      <c r="CB68" t="s">
        <v>36</v>
      </c>
      <c r="CC68" t="s">
        <v>36</v>
      </c>
      <c r="CD68" t="s">
        <v>36</v>
      </c>
      <c r="CE68" t="s">
        <v>36</v>
      </c>
      <c r="CF68" t="s">
        <v>36</v>
      </c>
      <c r="CG68" t="s">
        <v>36</v>
      </c>
      <c r="CH68" t="s">
        <v>36</v>
      </c>
      <c r="CI68" t="s">
        <v>36</v>
      </c>
      <c r="CJ68" t="s">
        <v>36</v>
      </c>
    </row>
    <row r="69" spans="1:88" x14ac:dyDescent="0.35">
      <c r="A69" s="1" t="s">
        <v>258</v>
      </c>
      <c r="B69" t="s">
        <v>259</v>
      </c>
      <c r="D69" t="s">
        <v>307</v>
      </c>
      <c r="E69" s="2" t="s">
        <v>41</v>
      </c>
      <c r="H69" s="3"/>
      <c r="I69" t="s">
        <v>54</v>
      </c>
      <c r="J69" t="str">
        <f>IF(AI69&gt;=80, "Outstanding achievement! You are a shining star of our class.", IF(AI69&gt;=70, "Impressive work! Your dedication is truly paying off.", IF(AI69&gt;=60, "Well done! You have great potential to achieve even more.", IF(AI69&gt;=50, "Good effort! A little more focus will lead to better results.", IF(AI69&gt;=40, "Don't lose heart! With extra hard work, you can improve.", "We believe in you! Let's work together for a strong comeback.")))))</f>
        <v>Well done! You have great potential to achieve even more.</v>
      </c>
      <c r="K69" s="4">
        <v>49.5</v>
      </c>
      <c r="L69" s="4">
        <v>26</v>
      </c>
      <c r="M69" s="4">
        <v>71.5</v>
      </c>
      <c r="U69" s="5"/>
      <c r="AG69" s="4">
        <v>65</v>
      </c>
      <c r="AH69" s="2">
        <f>SUM(K69:AG69)</f>
        <v>212</v>
      </c>
      <c r="AI69" s="2">
        <f>(AH69/325)*100</f>
        <v>65.230769230769226</v>
      </c>
      <c r="AJ69" s="2" t="str">
        <f>IF(AI69&gt;=80, "A+", IF(AI69&gt;=70, "A", IF(AI69&gt;=60, "B", IF(AI69&gt;=50, "C", IF(AI69&gt;=40, "D", "FAIL")))))</f>
        <v>B</v>
      </c>
    </row>
    <row r="70" spans="1:88" x14ac:dyDescent="0.35">
      <c r="A70" t="s">
        <v>260</v>
      </c>
      <c r="B70" t="s">
        <v>261</v>
      </c>
      <c r="D70" t="s">
        <v>262</v>
      </c>
      <c r="E70" t="s">
        <v>41</v>
      </c>
      <c r="F70" t="s">
        <v>42</v>
      </c>
      <c r="G70" t="s">
        <v>42</v>
      </c>
      <c r="H70" t="s">
        <v>42</v>
      </c>
      <c r="I70" t="s">
        <v>54</v>
      </c>
      <c r="J70" t="s">
        <v>132</v>
      </c>
      <c r="K70">
        <v>30</v>
      </c>
      <c r="L70">
        <v>51</v>
      </c>
      <c r="M70">
        <v>47</v>
      </c>
      <c r="AG70">
        <v>86</v>
      </c>
      <c r="AH70">
        <v>214</v>
      </c>
      <c r="AI70">
        <v>65.84615384615384</v>
      </c>
      <c r="AJ70" t="s">
        <v>133</v>
      </c>
      <c r="CB70" t="s">
        <v>36</v>
      </c>
      <c r="CC70" t="s">
        <v>36</v>
      </c>
      <c r="CD70" t="s">
        <v>36</v>
      </c>
      <c r="CE70" t="s">
        <v>36</v>
      </c>
      <c r="CF70" t="s">
        <v>36</v>
      </c>
      <c r="CG70" t="s">
        <v>36</v>
      </c>
      <c r="CH70" t="s">
        <v>36</v>
      </c>
      <c r="CI70" t="s">
        <v>36</v>
      </c>
      <c r="CJ70" t="s">
        <v>36</v>
      </c>
    </row>
    <row r="71" spans="1:88" x14ac:dyDescent="0.35">
      <c r="A71" t="s">
        <v>263</v>
      </c>
      <c r="B71" t="s">
        <v>264</v>
      </c>
      <c r="C71" t="s">
        <v>265</v>
      </c>
      <c r="D71" t="s">
        <v>266</v>
      </c>
      <c r="E71" t="s">
        <v>41</v>
      </c>
      <c r="F71" t="s">
        <v>42</v>
      </c>
      <c r="G71" t="s">
        <v>42</v>
      </c>
      <c r="H71" t="s">
        <v>42</v>
      </c>
      <c r="I71" t="s">
        <v>54</v>
      </c>
      <c r="J71" t="s">
        <v>132</v>
      </c>
      <c r="K71">
        <v>44</v>
      </c>
      <c r="L71">
        <v>49</v>
      </c>
      <c r="M71">
        <v>36</v>
      </c>
      <c r="AG71">
        <v>81</v>
      </c>
      <c r="AH71">
        <v>210</v>
      </c>
      <c r="AI71">
        <v>64.615384615384613</v>
      </c>
      <c r="AJ71" t="s">
        <v>133</v>
      </c>
      <c r="CB71" t="s">
        <v>36</v>
      </c>
      <c r="CC71" t="s">
        <v>36</v>
      </c>
      <c r="CD71" t="s">
        <v>36</v>
      </c>
      <c r="CE71" t="s">
        <v>36</v>
      </c>
      <c r="CF71" t="s">
        <v>36</v>
      </c>
      <c r="CG71" t="s">
        <v>36</v>
      </c>
      <c r="CH71" t="s">
        <v>36</v>
      </c>
      <c r="CI71" t="s">
        <v>36</v>
      </c>
      <c r="CJ71" t="s">
        <v>36</v>
      </c>
    </row>
    <row r="72" spans="1:88" x14ac:dyDescent="0.35">
      <c r="A72" t="s">
        <v>267</v>
      </c>
      <c r="B72" t="s">
        <v>268</v>
      </c>
      <c r="C72" t="s">
        <v>265</v>
      </c>
      <c r="D72" t="s">
        <v>269</v>
      </c>
      <c r="E72" t="s">
        <v>41</v>
      </c>
      <c r="F72" t="s">
        <v>42</v>
      </c>
      <c r="G72" t="s">
        <v>42</v>
      </c>
      <c r="H72" t="s">
        <v>42</v>
      </c>
      <c r="I72" t="s">
        <v>54</v>
      </c>
      <c r="J72" t="s">
        <v>106</v>
      </c>
      <c r="K72">
        <v>25</v>
      </c>
      <c r="L72">
        <v>30</v>
      </c>
      <c r="M72">
        <v>39</v>
      </c>
      <c r="AG72">
        <v>79</v>
      </c>
      <c r="AH72">
        <v>173</v>
      </c>
      <c r="AI72">
        <v>53.230769230769226</v>
      </c>
      <c r="AJ72" t="s">
        <v>107</v>
      </c>
      <c r="CB72" t="s">
        <v>36</v>
      </c>
      <c r="CC72" t="s">
        <v>36</v>
      </c>
      <c r="CD72" t="s">
        <v>36</v>
      </c>
      <c r="CE72" t="s">
        <v>36</v>
      </c>
      <c r="CF72" t="s">
        <v>36</v>
      </c>
      <c r="CG72" t="s">
        <v>36</v>
      </c>
      <c r="CH72" t="s">
        <v>36</v>
      </c>
      <c r="CI72" t="s">
        <v>36</v>
      </c>
      <c r="CJ72" t="s">
        <v>36</v>
      </c>
    </row>
    <row r="73" spans="1:88" x14ac:dyDescent="0.35">
      <c r="A73" t="s">
        <v>270</v>
      </c>
      <c r="B73" t="s">
        <v>271</v>
      </c>
      <c r="C73" t="s">
        <v>272</v>
      </c>
      <c r="D73" t="s">
        <v>273</v>
      </c>
      <c r="E73" t="s">
        <v>41</v>
      </c>
      <c r="F73" t="s">
        <v>42</v>
      </c>
      <c r="G73" t="s">
        <v>42</v>
      </c>
      <c r="H73" t="s">
        <v>42</v>
      </c>
      <c r="I73" t="s">
        <v>54</v>
      </c>
      <c r="J73" t="s">
        <v>191</v>
      </c>
      <c r="K73">
        <v>22</v>
      </c>
      <c r="L73">
        <v>30</v>
      </c>
      <c r="M73">
        <v>40</v>
      </c>
      <c r="AG73">
        <v>83</v>
      </c>
      <c r="AH73">
        <v>145</v>
      </c>
      <c r="AI73">
        <v>44.61538461538462</v>
      </c>
      <c r="AJ73" t="s">
        <v>192</v>
      </c>
      <c r="CB73" t="s">
        <v>36</v>
      </c>
      <c r="CC73" t="s">
        <v>36</v>
      </c>
      <c r="CD73" t="s">
        <v>36</v>
      </c>
      <c r="CE73" t="s">
        <v>36</v>
      </c>
      <c r="CF73" t="s">
        <v>36</v>
      </c>
      <c r="CG73" t="s">
        <v>36</v>
      </c>
      <c r="CH73" t="s">
        <v>36</v>
      </c>
      <c r="CI73" t="s">
        <v>36</v>
      </c>
      <c r="CJ73" t="s">
        <v>36</v>
      </c>
    </row>
    <row r="74" spans="1:88" x14ac:dyDescent="0.35">
      <c r="A74" t="s">
        <v>274</v>
      </c>
      <c r="B74" t="s">
        <v>275</v>
      </c>
      <c r="C74" t="s">
        <v>276</v>
      </c>
      <c r="D74" t="s">
        <v>269</v>
      </c>
      <c r="E74" t="s">
        <v>41</v>
      </c>
      <c r="F74" t="s">
        <v>277</v>
      </c>
      <c r="G74" t="s">
        <v>278</v>
      </c>
      <c r="H74">
        <v>43834</v>
      </c>
      <c r="I74" t="s">
        <v>54</v>
      </c>
      <c r="J74" t="s">
        <v>132</v>
      </c>
      <c r="K74">
        <v>35</v>
      </c>
      <c r="L74">
        <v>28</v>
      </c>
      <c r="M74">
        <v>48</v>
      </c>
      <c r="AG74">
        <v>88</v>
      </c>
      <c r="AH74">
        <v>199</v>
      </c>
      <c r="AI74">
        <v>61.230769230769234</v>
      </c>
      <c r="AJ74" t="s">
        <v>133</v>
      </c>
      <c r="CB74" t="s">
        <v>36</v>
      </c>
      <c r="CC74" t="s">
        <v>36</v>
      </c>
      <c r="CD74" t="s">
        <v>36</v>
      </c>
      <c r="CE74" t="s">
        <v>36</v>
      </c>
      <c r="CF74" t="s">
        <v>36</v>
      </c>
      <c r="CG74" t="s">
        <v>36</v>
      </c>
      <c r="CH74" t="s">
        <v>36</v>
      </c>
      <c r="CI74" t="s">
        <v>36</v>
      </c>
      <c r="CJ74" t="s">
        <v>36</v>
      </c>
    </row>
    <row r="75" spans="1:88" x14ac:dyDescent="0.35">
      <c r="AH75">
        <v>0</v>
      </c>
      <c r="AI75">
        <v>0</v>
      </c>
      <c r="AJ75" t="s">
        <v>114</v>
      </c>
      <c r="CB75" t="s">
        <v>36</v>
      </c>
      <c r="CC75" t="s">
        <v>36</v>
      </c>
      <c r="CD75" t="s">
        <v>36</v>
      </c>
      <c r="CE75" t="s">
        <v>36</v>
      </c>
      <c r="CF75" t="s">
        <v>36</v>
      </c>
      <c r="CG75" t="s">
        <v>36</v>
      </c>
      <c r="CH75" t="s">
        <v>36</v>
      </c>
      <c r="CI75" t="s">
        <v>36</v>
      </c>
      <c r="CJ75" t="s">
        <v>36</v>
      </c>
    </row>
  </sheetData>
  <pageMargins left="0.7" right="0.7" top="0.75" bottom="0.75" header="0.3" footer="0.3"/>
  <ignoredErrors>
    <ignoredError sqref="A1:CJ21 A74:CJ75 A72:E72 K72:CJ72 A70:E71 A68:E68 G68:CJ68 A73:E73 I73:K73 I72 I70:CJ71 A23:CJ38 A22:J22 L22:CJ22 M73:CJ73 A54:CJ67 A53:J53 L53:CJ53 A47:CJ52 A46:Q46 S46:CJ46 A40:CJ45 A39:O39 Q39:CJ3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27"/>
  <sheetViews>
    <sheetView workbookViewId="0"/>
  </sheetViews>
  <sheetFormatPr defaultRowHeight="15.5" x14ac:dyDescent="0.35"/>
  <sheetData>
    <row r="2" spans="2:14" x14ac:dyDescent="0.35">
      <c r="H2" t="s">
        <v>279</v>
      </c>
      <c r="J2" t="s">
        <v>279</v>
      </c>
    </row>
    <row r="3" spans="2:14" x14ac:dyDescent="0.35">
      <c r="B3" t="s">
        <v>280</v>
      </c>
      <c r="D3" t="s">
        <v>281</v>
      </c>
      <c r="F3" t="s">
        <v>282</v>
      </c>
      <c r="H3" t="s">
        <v>283</v>
      </c>
      <c r="J3" t="s">
        <v>284</v>
      </c>
      <c r="L3" t="s">
        <v>285</v>
      </c>
      <c r="N3" t="s">
        <v>286</v>
      </c>
    </row>
    <row r="4" spans="2:14" x14ac:dyDescent="0.35">
      <c r="B4" t="s">
        <v>287</v>
      </c>
      <c r="D4" t="s">
        <v>287</v>
      </c>
      <c r="F4" t="s">
        <v>287</v>
      </c>
      <c r="H4" t="s">
        <v>10</v>
      </c>
      <c r="J4" t="s">
        <v>10</v>
      </c>
      <c r="N4" t="s">
        <v>10</v>
      </c>
    </row>
    <row r="5" spans="2:14" x14ac:dyDescent="0.35">
      <c r="B5" t="s">
        <v>288</v>
      </c>
      <c r="D5" t="s">
        <v>288</v>
      </c>
      <c r="F5" t="s">
        <v>10</v>
      </c>
      <c r="H5" t="s">
        <v>12</v>
      </c>
      <c r="J5" t="s">
        <v>12</v>
      </c>
      <c r="L5" s="6" t="s">
        <v>289</v>
      </c>
      <c r="M5" s="6"/>
      <c r="N5" t="s">
        <v>12</v>
      </c>
    </row>
    <row r="6" spans="2:14" x14ac:dyDescent="0.35">
      <c r="B6" t="s">
        <v>10</v>
      </c>
      <c r="D6" t="s">
        <v>10</v>
      </c>
      <c r="F6" t="s">
        <v>12</v>
      </c>
      <c r="H6" t="s">
        <v>290</v>
      </c>
      <c r="J6" t="s">
        <v>290</v>
      </c>
      <c r="L6" s="6" t="s">
        <v>28</v>
      </c>
      <c r="M6" s="6"/>
      <c r="N6" t="s">
        <v>290</v>
      </c>
    </row>
    <row r="7" spans="2:14" x14ac:dyDescent="0.35">
      <c r="B7" t="s">
        <v>12</v>
      </c>
      <c r="D7" t="s">
        <v>12</v>
      </c>
      <c r="F7" t="s">
        <v>290</v>
      </c>
      <c r="H7" t="s">
        <v>18</v>
      </c>
      <c r="J7" t="s">
        <v>18</v>
      </c>
      <c r="L7" s="6" t="s">
        <v>291</v>
      </c>
      <c r="M7" s="6"/>
      <c r="N7" t="s">
        <v>288</v>
      </c>
    </row>
    <row r="8" spans="2:14" x14ac:dyDescent="0.35">
      <c r="B8" t="s">
        <v>290</v>
      </c>
      <c r="D8" t="s">
        <v>290</v>
      </c>
      <c r="F8" t="s">
        <v>15</v>
      </c>
      <c r="H8" t="s">
        <v>22</v>
      </c>
      <c r="J8" t="s">
        <v>22</v>
      </c>
      <c r="L8" s="6" t="s">
        <v>29</v>
      </c>
      <c r="M8" s="6"/>
      <c r="N8" t="s">
        <v>32</v>
      </c>
    </row>
    <row r="9" spans="2:14" x14ac:dyDescent="0.35">
      <c r="B9" t="s">
        <v>292</v>
      </c>
      <c r="D9" t="s">
        <v>292</v>
      </c>
      <c r="F9" t="s">
        <v>292</v>
      </c>
      <c r="H9" t="s">
        <v>23</v>
      </c>
      <c r="J9" t="s">
        <v>23</v>
      </c>
      <c r="L9" s="6" t="s">
        <v>293</v>
      </c>
      <c r="M9" s="6"/>
    </row>
    <row r="10" spans="2:14" x14ac:dyDescent="0.35">
      <c r="B10" t="s">
        <v>294</v>
      </c>
      <c r="D10" t="s">
        <v>295</v>
      </c>
      <c r="F10" t="s">
        <v>13</v>
      </c>
      <c r="H10" t="s">
        <v>296</v>
      </c>
      <c r="J10" t="s">
        <v>27</v>
      </c>
      <c r="L10" s="6" t="s">
        <v>30</v>
      </c>
      <c r="M10" s="6"/>
    </row>
    <row r="11" spans="2:14" x14ac:dyDescent="0.35">
      <c r="B11" t="s">
        <v>296</v>
      </c>
      <c r="D11" t="s">
        <v>297</v>
      </c>
      <c r="F11" t="s">
        <v>296</v>
      </c>
      <c r="H11" t="s">
        <v>27</v>
      </c>
      <c r="J11" t="s">
        <v>26</v>
      </c>
      <c r="L11" s="6" t="s">
        <v>298</v>
      </c>
      <c r="M11" s="6"/>
    </row>
    <row r="12" spans="2:14" x14ac:dyDescent="0.35">
      <c r="D12" t="s">
        <v>296</v>
      </c>
      <c r="F12" t="s">
        <v>288</v>
      </c>
      <c r="L12" s="6" t="s">
        <v>31</v>
      </c>
      <c r="M12" s="6"/>
    </row>
    <row r="13" spans="2:14" x14ac:dyDescent="0.35">
      <c r="L13" t="s">
        <v>288</v>
      </c>
    </row>
    <row r="18" spans="6:10" x14ac:dyDescent="0.35">
      <c r="F18" t="s">
        <v>299</v>
      </c>
      <c r="H18" t="s">
        <v>300</v>
      </c>
      <c r="J18" t="s">
        <v>300</v>
      </c>
    </row>
    <row r="19" spans="6:10" x14ac:dyDescent="0.35">
      <c r="F19" t="s">
        <v>301</v>
      </c>
      <c r="H19" t="s">
        <v>283</v>
      </c>
      <c r="J19" t="s">
        <v>302</v>
      </c>
    </row>
    <row r="20" spans="6:10" x14ac:dyDescent="0.35">
      <c r="F20" t="s">
        <v>10</v>
      </c>
      <c r="H20" t="s">
        <v>10</v>
      </c>
      <c r="J20" t="s">
        <v>10</v>
      </c>
    </row>
    <row r="21" spans="6:10" x14ac:dyDescent="0.35">
      <c r="F21" t="s">
        <v>12</v>
      </c>
      <c r="H21" t="s">
        <v>12</v>
      </c>
      <c r="J21" t="s">
        <v>12</v>
      </c>
    </row>
    <row r="22" spans="6:10" x14ac:dyDescent="0.35">
      <c r="F22" t="s">
        <v>290</v>
      </c>
      <c r="H22" t="s">
        <v>303</v>
      </c>
      <c r="J22" t="s">
        <v>303</v>
      </c>
    </row>
    <row r="23" spans="6:10" x14ac:dyDescent="0.35">
      <c r="F23" t="s">
        <v>292</v>
      </c>
      <c r="H23" t="s">
        <v>304</v>
      </c>
      <c r="J23" t="s">
        <v>304</v>
      </c>
    </row>
    <row r="24" spans="6:10" x14ac:dyDescent="0.35">
      <c r="F24" t="s">
        <v>25</v>
      </c>
      <c r="H24" t="s">
        <v>305</v>
      </c>
      <c r="J24" t="s">
        <v>305</v>
      </c>
    </row>
    <row r="25" spans="6:10" x14ac:dyDescent="0.35">
      <c r="F25" t="s">
        <v>26</v>
      </c>
      <c r="H25" t="s">
        <v>306</v>
      </c>
      <c r="J25" t="s">
        <v>306</v>
      </c>
    </row>
    <row r="26" spans="6:10" x14ac:dyDescent="0.35">
      <c r="F26" t="s">
        <v>296</v>
      </c>
      <c r="H26" t="s">
        <v>296</v>
      </c>
      <c r="J26" t="s">
        <v>27</v>
      </c>
    </row>
    <row r="27" spans="6:10" x14ac:dyDescent="0.35">
      <c r="F27" t="s">
        <v>27</v>
      </c>
      <c r="H27" t="s">
        <v>27</v>
      </c>
      <c r="J27" t="s">
        <v>26</v>
      </c>
    </row>
  </sheetData>
  <mergeCells count="8">
    <mergeCell ref="L10:M10"/>
    <mergeCell ref="L11:M11"/>
    <mergeCell ref="L12:M12"/>
    <mergeCell ref="L5:M5"/>
    <mergeCell ref="L6:M6"/>
    <mergeCell ref="L7:M7"/>
    <mergeCell ref="L8:M8"/>
    <mergeCell ref="L9:M9"/>
  </mergeCells>
  <pageMargins left="0.7" right="0.7" top="0.75" bottom="0.75" header="0.3" footer="0.3"/>
  <ignoredErrors>
    <ignoredError sqref="B2:N2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 Rehman</dc:creator>
  <cp:lastModifiedBy>Abdul Rehman</cp:lastModifiedBy>
  <cp:lastPrinted>2025-10-16T16:09:41Z</cp:lastPrinted>
  <dcterms:created xsi:type="dcterms:W3CDTF">2025-10-16T12:38:14Z</dcterms:created>
  <dcterms:modified xsi:type="dcterms:W3CDTF">2026-03-27T14:12:51Z</dcterms:modified>
</cp:coreProperties>
</file>