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b89d8f5a3cedb0/Desktop/folder/data/"/>
    </mc:Choice>
  </mc:AlternateContent>
  <xr:revisionPtr revIDLastSave="1" documentId="13_ncr:1_{55EF55B6-712C-4489-BD71-CD1C9CE25803}" xr6:coauthVersionLast="47" xr6:coauthVersionMax="47" xr10:uidLastSave="{04FB159F-C0B9-4F8C-AEA5-C0F126C3E776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definedNames>
    <definedName name="_xlnm._FilterDatabase" localSheetId="0" hidden="1">Sheet2!$A$1:$CA$68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5" i="1" l="1"/>
  <c r="AI75" i="1" s="1"/>
  <c r="AJ75" i="1" s="1"/>
  <c r="AH74" i="1"/>
  <c r="AI74" i="1" s="1"/>
  <c r="AI73" i="1"/>
  <c r="J73" i="1" s="1"/>
  <c r="AH73" i="1"/>
  <c r="AH72" i="1"/>
  <c r="AI72" i="1" s="1"/>
  <c r="AI71" i="1"/>
  <c r="J71" i="1" s="1"/>
  <c r="AH71" i="1"/>
  <c r="AH70" i="1"/>
  <c r="AI70" i="1" s="1"/>
  <c r="AI69" i="1"/>
  <c r="J69" i="1" s="1"/>
  <c r="AH69" i="1"/>
  <c r="AJ74" i="1" l="1"/>
  <c r="J74" i="1"/>
  <c r="AJ70" i="1"/>
  <c r="J70" i="1"/>
  <c r="AJ72" i="1"/>
  <c r="J72" i="1"/>
  <c r="AJ69" i="1"/>
  <c r="AJ71" i="1"/>
  <c r="AJ73" i="1"/>
  <c r="AK68" i="1" l="1"/>
  <c r="AL68" i="1" s="1"/>
  <c r="AK67" i="1"/>
  <c r="AL67" i="1" s="1"/>
  <c r="AM66" i="1"/>
  <c r="AN66" i="1" s="1"/>
  <c r="AM65" i="1"/>
  <c r="AN65" i="1" s="1"/>
  <c r="AM64" i="1"/>
  <c r="AN64" i="1" s="1"/>
  <c r="AM63" i="1"/>
  <c r="AN63" i="1" s="1"/>
  <c r="AM62" i="1"/>
  <c r="AN62" i="1" s="1"/>
  <c r="AM61" i="1"/>
  <c r="AN61" i="1" s="1"/>
  <c r="AM60" i="1"/>
  <c r="AN60" i="1" s="1"/>
  <c r="AL59" i="1"/>
  <c r="AM59" i="1" s="1"/>
  <c r="AL58" i="1"/>
  <c r="AM58" i="1" s="1"/>
  <c r="AL57" i="1"/>
  <c r="AM57" i="1" s="1"/>
  <c r="AL56" i="1"/>
  <c r="AM56" i="1" s="1"/>
  <c r="AL55" i="1"/>
  <c r="AM55" i="1" s="1"/>
  <c r="AL54" i="1"/>
  <c r="AM54" i="1" s="1"/>
  <c r="AL53" i="1"/>
  <c r="AM53" i="1" s="1"/>
  <c r="AL52" i="1"/>
  <c r="AM52" i="1" s="1"/>
  <c r="AL51" i="1"/>
  <c r="AM51" i="1" s="1"/>
  <c r="AL50" i="1"/>
  <c r="AM50" i="1" s="1"/>
  <c r="AL49" i="1"/>
  <c r="AM49" i="1" s="1"/>
  <c r="AL48" i="1"/>
  <c r="AM48" i="1" s="1"/>
  <c r="AK47" i="1"/>
  <c r="AL47" i="1" s="1"/>
  <c r="AM47" i="1" s="1"/>
  <c r="AK46" i="1"/>
  <c r="AL46" i="1" s="1"/>
  <c r="AK45" i="1"/>
  <c r="AL45" i="1" s="1"/>
  <c r="AM45" i="1" s="1"/>
  <c r="AK44" i="1"/>
  <c r="AL44" i="1" s="1"/>
  <c r="AK43" i="1"/>
  <c r="AL43" i="1" s="1"/>
  <c r="AM43" i="1" s="1"/>
  <c r="AK42" i="1"/>
  <c r="AL42" i="1" s="1"/>
  <c r="AK41" i="1"/>
  <c r="AL41" i="1" s="1"/>
  <c r="AM41" i="1" s="1"/>
  <c r="AK40" i="1"/>
  <c r="AL40" i="1" s="1"/>
  <c r="AK39" i="1"/>
  <c r="AL39" i="1" s="1"/>
  <c r="AK38" i="1"/>
  <c r="AL38" i="1" s="1"/>
  <c r="AK37" i="1"/>
  <c r="AL37" i="1" s="1"/>
  <c r="AK36" i="1"/>
  <c r="AL36" i="1" s="1"/>
  <c r="AH35" i="1"/>
  <c r="AI35" i="1" s="1"/>
  <c r="AH34" i="1"/>
  <c r="AI34" i="1" s="1"/>
  <c r="AH33" i="1"/>
  <c r="AI33" i="1" s="1"/>
  <c r="AJ19" i="1"/>
  <c r="AH19" i="1"/>
  <c r="AI19" i="1" s="1"/>
  <c r="J19" i="1" s="1"/>
  <c r="AJ18" i="1"/>
  <c r="AH18" i="1"/>
  <c r="AI18" i="1" s="1"/>
  <c r="J18" i="1" s="1"/>
  <c r="AJ17" i="1"/>
  <c r="AH17" i="1"/>
  <c r="AI17" i="1" s="1"/>
  <c r="J17" i="1" s="1"/>
  <c r="AJ16" i="1"/>
  <c r="AH16" i="1"/>
  <c r="AI16" i="1" s="1"/>
  <c r="J16" i="1" s="1"/>
  <c r="AJ15" i="1"/>
  <c r="AH15" i="1"/>
  <c r="AI15" i="1" s="1"/>
  <c r="J15" i="1" s="1"/>
  <c r="AJ14" i="1"/>
  <c r="AH14" i="1"/>
  <c r="AI14" i="1" s="1"/>
  <c r="J14" i="1" s="1"/>
  <c r="AJ13" i="1"/>
  <c r="AH13" i="1"/>
  <c r="AI13" i="1" s="1"/>
  <c r="J13" i="1" s="1"/>
  <c r="AJ12" i="1"/>
  <c r="AH12" i="1"/>
  <c r="AI12" i="1" s="1"/>
  <c r="J12" i="1" s="1"/>
  <c r="AJ11" i="1"/>
  <c r="AH11" i="1"/>
  <c r="AI11" i="1" s="1"/>
  <c r="J11" i="1" s="1"/>
  <c r="AJ10" i="1"/>
  <c r="AH10" i="1"/>
  <c r="AI10" i="1" s="1"/>
  <c r="J10" i="1" s="1"/>
  <c r="AJ9" i="1"/>
  <c r="AH9" i="1"/>
  <c r="AI9" i="1" s="1"/>
  <c r="J9" i="1" s="1"/>
  <c r="AJ8" i="1"/>
  <c r="AH8" i="1"/>
  <c r="AI8" i="1" s="1"/>
  <c r="J8" i="1" s="1"/>
  <c r="AJ7" i="1"/>
  <c r="AH7" i="1"/>
  <c r="AI7" i="1" s="1"/>
  <c r="J7" i="1" s="1"/>
  <c r="AJ6" i="1"/>
  <c r="AH6" i="1"/>
  <c r="AI6" i="1" s="1"/>
  <c r="J6" i="1" s="1"/>
  <c r="AJ5" i="1"/>
  <c r="AH5" i="1"/>
  <c r="AI5" i="1" s="1"/>
  <c r="J5" i="1" s="1"/>
  <c r="AJ4" i="1"/>
  <c r="AH4" i="1"/>
  <c r="AI4" i="1" s="1"/>
  <c r="J4" i="1" s="1"/>
  <c r="AJ3" i="1"/>
  <c r="AH3" i="1"/>
  <c r="AI3" i="1" s="1"/>
  <c r="J3" i="1" s="1"/>
  <c r="AJ2" i="1"/>
  <c r="AH2" i="1"/>
  <c r="AI2" i="1" s="1"/>
  <c r="J2" i="1" s="1"/>
  <c r="AM67" i="1" l="1"/>
  <c r="J67" i="1"/>
  <c r="J68" i="1"/>
  <c r="AM68" i="1"/>
  <c r="AO62" i="1"/>
  <c r="J62" i="1"/>
  <c r="AO60" i="1"/>
  <c r="J60" i="1"/>
  <c r="AO63" i="1"/>
  <c r="J63" i="1"/>
  <c r="AO61" i="1"/>
  <c r="J61" i="1"/>
  <c r="J65" i="1"/>
  <c r="AO65" i="1"/>
  <c r="AO64" i="1"/>
  <c r="J64" i="1"/>
  <c r="AO66" i="1"/>
  <c r="J66" i="1"/>
  <c r="AN54" i="1"/>
  <c r="J54" i="1"/>
  <c r="AN56" i="1"/>
  <c r="J56" i="1"/>
  <c r="AN57" i="1"/>
  <c r="J57" i="1"/>
  <c r="AN58" i="1"/>
  <c r="J58" i="1"/>
  <c r="AN55" i="1"/>
  <c r="J55" i="1"/>
  <c r="AN59" i="1"/>
  <c r="J59" i="1"/>
  <c r="J53" i="1"/>
  <c r="AN53" i="1"/>
  <c r="J48" i="1"/>
  <c r="AN48" i="1"/>
  <c r="J49" i="1"/>
  <c r="AN49" i="1"/>
  <c r="J50" i="1"/>
  <c r="AN50" i="1"/>
  <c r="J51" i="1"/>
  <c r="AN51" i="1"/>
  <c r="J52" i="1"/>
  <c r="AN52" i="1"/>
  <c r="J42" i="1"/>
  <c r="AM42" i="1"/>
  <c r="AM44" i="1"/>
  <c r="J44" i="1"/>
  <c r="J46" i="1"/>
  <c r="AM46" i="1"/>
  <c r="J41" i="1"/>
  <c r="J43" i="1"/>
  <c r="J45" i="1"/>
  <c r="J47" i="1"/>
  <c r="AM39" i="1"/>
  <c r="J39" i="1"/>
  <c r="AM40" i="1"/>
  <c r="J40" i="1"/>
  <c r="AM36" i="1"/>
  <c r="J36" i="1"/>
  <c r="AM37" i="1"/>
  <c r="J37" i="1"/>
  <c r="AM38" i="1"/>
  <c r="J38" i="1"/>
  <c r="AJ33" i="1"/>
  <c r="J33" i="1"/>
  <c r="AJ34" i="1"/>
  <c r="J34" i="1"/>
  <c r="AJ35" i="1"/>
  <c r="J35" i="1"/>
</calcChain>
</file>

<file path=xl/sharedStrings.xml><?xml version="1.0" encoding="utf-8"?>
<sst xmlns="http://schemas.openxmlformats.org/spreadsheetml/2006/main" count="796" uniqueCount="302">
  <si>
    <t>Roll No</t>
  </si>
  <si>
    <t>Name</t>
  </si>
  <si>
    <t>Father Name</t>
  </si>
  <si>
    <t>Class</t>
  </si>
  <si>
    <t>Donor ID</t>
  </si>
  <si>
    <t>Donor Name</t>
  </si>
  <si>
    <t>Admission Date</t>
  </si>
  <si>
    <t>Session</t>
  </si>
  <si>
    <t>Remarks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</si>
  <si>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</si>
  <si>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</si>
  <si>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</si>
  <si>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</si>
  <si>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</si>
  <si>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</si>
  <si>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</si>
  <si>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Computer/Biology</t>
  </si>
  <si>
    <t>S.st</t>
  </si>
  <si>
    <t>Nazra</t>
  </si>
  <si>
    <t>Summer Task</t>
  </si>
  <si>
    <t>Chemistry</t>
  </si>
  <si>
    <t>Physics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</si>
  <si>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</si>
  <si>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</si>
  <si>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</si>
  <si>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</si>
  <si>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</si>
  <si>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</si>
  <si>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</si>
  <si>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</si>
  <si>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</si>
  <si>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</si>
  <si>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</si>
  <si>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</si>
  <si>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</si>
  <si>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>Total</t>
  </si>
  <si>
    <t>Percentage</t>
  </si>
  <si>
    <t>Grade</t>
  </si>
  <si>
    <t/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</si>
  <si>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</si>
  <si>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</si>
  <si>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</si>
  <si>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</si>
  <si>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</si>
  <si>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</si>
  <si>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</si>
  <si>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</si>
  <si>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</si>
  <si>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</si>
  <si>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</si>
  <si>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</si>
  <si>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Tajveed</t>
  </si>
  <si>
    <t>Computer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</si>
  <si>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</si>
  <si>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</si>
  <si>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</si>
  <si>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</si>
  <si>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</si>
  <si>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</si>
  <si>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</si>
  <si>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</si>
  <si>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</si>
  <si>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Term</t>
  </si>
  <si>
    <t>Homeconomics</t>
  </si>
  <si>
    <t>Islamiat Elective</t>
  </si>
  <si>
    <t>002466</t>
  </si>
  <si>
    <t xml:space="preserve">Alisha fatima </t>
  </si>
  <si>
    <t>Asghar Abbas</t>
  </si>
  <si>
    <t>P.G</t>
  </si>
  <si>
    <t>Final</t>
  </si>
  <si>
    <t xml:space="preserve">2025-26 </t>
  </si>
  <si>
    <t>002467</t>
  </si>
  <si>
    <t>Manahil Asgahr</t>
  </si>
  <si>
    <t>002470</t>
  </si>
  <si>
    <t>Zain</t>
  </si>
  <si>
    <t>Hafeez Akhtar</t>
  </si>
  <si>
    <t>002506</t>
  </si>
  <si>
    <t>Hameed Ullah</t>
  </si>
  <si>
    <t>Riaz Gul</t>
  </si>
  <si>
    <t>2025-26</t>
  </si>
  <si>
    <t>002509</t>
  </si>
  <si>
    <t>Jamshad</t>
  </si>
  <si>
    <t>Muhammad Javed (Late)</t>
  </si>
  <si>
    <t>002508</t>
  </si>
  <si>
    <t xml:space="preserve">Hassan </t>
  </si>
  <si>
    <t>Nursery</t>
  </si>
  <si>
    <t>2026-01</t>
  </si>
  <si>
    <t>Ayesha Ashfaque</t>
  </si>
  <si>
    <t>002524</t>
  </si>
  <si>
    <t>Aman</t>
  </si>
  <si>
    <t xml:space="preserve">Amir khan </t>
  </si>
  <si>
    <t>002510</t>
  </si>
  <si>
    <t>Kiran</t>
  </si>
  <si>
    <t>2025-002</t>
  </si>
  <si>
    <t>Thanzeer Sharfudeen</t>
  </si>
  <si>
    <t>002431</t>
  </si>
  <si>
    <t>Maria</t>
  </si>
  <si>
    <t>Muhammad Siddique</t>
  </si>
  <si>
    <t>002436</t>
  </si>
  <si>
    <t>Momin</t>
  </si>
  <si>
    <t>Adnan Gujjar</t>
  </si>
  <si>
    <t>002526</t>
  </si>
  <si>
    <t>Shayan</t>
  </si>
  <si>
    <t>Rashid</t>
  </si>
  <si>
    <t>002531</t>
  </si>
  <si>
    <t>Huria Fatima</t>
  </si>
  <si>
    <t xml:space="preserve">Manahil </t>
  </si>
  <si>
    <t>K.G-II</t>
  </si>
  <si>
    <t>002504</t>
  </si>
  <si>
    <t xml:space="preserve">Umm-e-Hani                   </t>
  </si>
  <si>
    <t>Shahbaz Ahmad  (Late)</t>
  </si>
  <si>
    <t>002521</t>
  </si>
  <si>
    <t>Ayesha Noor</t>
  </si>
  <si>
    <t>Gul Muhammad</t>
  </si>
  <si>
    <t>002474</t>
  </si>
  <si>
    <t>Zoya</t>
  </si>
  <si>
    <t>Tariq Mehmood</t>
  </si>
  <si>
    <t>002452</t>
  </si>
  <si>
    <t>Saqib</t>
  </si>
  <si>
    <t>Hamid Khan</t>
  </si>
  <si>
    <t>A</t>
  </si>
  <si>
    <t>002479</t>
  </si>
  <si>
    <t>Shair Ali</t>
  </si>
  <si>
    <t>Sajjad Ahmad</t>
  </si>
  <si>
    <t>002451</t>
  </si>
  <si>
    <t>Salman</t>
  </si>
  <si>
    <t>We believe in you! Let's work together for a strong comeback.</t>
  </si>
  <si>
    <t>002454</t>
  </si>
  <si>
    <t>qasim</t>
  </si>
  <si>
    <t>Muhammad Zaman Shahzad</t>
  </si>
  <si>
    <t>Good effort! A little more focus will lead to better results.</t>
  </si>
  <si>
    <t>C</t>
  </si>
  <si>
    <t>002475</t>
  </si>
  <si>
    <t>Muhammad Faiq</t>
  </si>
  <si>
    <t>Ihsan-ul-Wahab</t>
  </si>
  <si>
    <t>Impressive work! Your dedication is truly paying off.</t>
  </si>
  <si>
    <t>002478</t>
  </si>
  <si>
    <t>Mehar ali</t>
  </si>
  <si>
    <t>FAIL</t>
  </si>
  <si>
    <t>Maira Abrar</t>
  </si>
  <si>
    <t>2024-006</t>
  </si>
  <si>
    <t>Usman Ashraf</t>
  </si>
  <si>
    <t>002519</t>
  </si>
  <si>
    <t>Muhammad Huzaifa</t>
  </si>
  <si>
    <t>Ghulam Shabeer</t>
  </si>
  <si>
    <t>002434</t>
  </si>
  <si>
    <t xml:space="preserve">Hamna </t>
  </si>
  <si>
    <t>Outstanding achievement! You are a shining star of our class.</t>
  </si>
  <si>
    <t>A+</t>
  </si>
  <si>
    <t>002460</t>
  </si>
  <si>
    <t>Zimal Shoaib</t>
  </si>
  <si>
    <t>Shoaib Mustafa</t>
  </si>
  <si>
    <t>002465</t>
  </si>
  <si>
    <t>M.Hassnain</t>
  </si>
  <si>
    <t>Qammar Shahzad</t>
  </si>
  <si>
    <t>002469</t>
  </si>
  <si>
    <t>Muhammad Mustafa</t>
  </si>
  <si>
    <t>Well done! You have great potential to achieve even more.</t>
  </si>
  <si>
    <t>B</t>
  </si>
  <si>
    <t>002503</t>
  </si>
  <si>
    <t>Anabia Fatima</t>
  </si>
  <si>
    <t>Aftab Ishaq (Late)</t>
  </si>
  <si>
    <t>2025-005</t>
  </si>
  <si>
    <t>Khuram Mushtaq</t>
  </si>
  <si>
    <t>002408</t>
  </si>
  <si>
    <t xml:space="preserve">Muhammad Summar </t>
  </si>
  <si>
    <t>2024-003</t>
  </si>
  <si>
    <t>Saad Islam</t>
  </si>
  <si>
    <t>002473</t>
  </si>
  <si>
    <t>Muhammad Amar</t>
  </si>
  <si>
    <t>002505</t>
  </si>
  <si>
    <t>Ayeza Eman</t>
  </si>
  <si>
    <t>Waheed Ahmed</t>
  </si>
  <si>
    <t>002409</t>
  </si>
  <si>
    <t>Muhammad Ayan</t>
  </si>
  <si>
    <t>2024-005</t>
  </si>
  <si>
    <t>Nazim Qureshi</t>
  </si>
  <si>
    <t>16/03/2024</t>
  </si>
  <si>
    <t>002430</t>
  </si>
  <si>
    <t>Erum</t>
  </si>
  <si>
    <t>002429</t>
  </si>
  <si>
    <t>Zara</t>
  </si>
  <si>
    <t>Kamran Ali Satti</t>
  </si>
  <si>
    <t>002450</t>
  </si>
  <si>
    <t>Muhammad Ali</t>
  </si>
  <si>
    <t>Azhar Mehmood</t>
  </si>
  <si>
    <t>002464</t>
  </si>
  <si>
    <t>Waqar Un Nisa</t>
  </si>
  <si>
    <t>002402</t>
  </si>
  <si>
    <t>Umaima Noor</t>
  </si>
  <si>
    <t>Muhammad Sohail Satti (Late)</t>
  </si>
  <si>
    <t>2024-002</t>
  </si>
  <si>
    <t>Tayyab Riaz</t>
  </si>
  <si>
    <t>002419</t>
  </si>
  <si>
    <t>Zamin</t>
  </si>
  <si>
    <t>Mehmood Hussain</t>
  </si>
  <si>
    <t>002401</t>
  </si>
  <si>
    <r>
      <t xml:space="preserve">Maryam Fatima    </t>
    </r>
    <r>
      <rPr>
        <sz val="16"/>
        <color theme="1"/>
        <rFont val="Arial"/>
        <family val="2"/>
      </rPr>
      <t xml:space="preserve">          </t>
    </r>
  </si>
  <si>
    <t>2024-001</t>
  </si>
  <si>
    <t>Mohammad Arsalan</t>
  </si>
  <si>
    <t>002423</t>
  </si>
  <si>
    <t xml:space="preserve"> Abdul Ahad</t>
  </si>
  <si>
    <t>Abdul Wajid</t>
  </si>
  <si>
    <t>002435</t>
  </si>
  <si>
    <t>Abdul Moeez</t>
  </si>
  <si>
    <t>002444</t>
  </si>
  <si>
    <t>Laraib Ozaib</t>
  </si>
  <si>
    <t>Ozaib Hussain</t>
  </si>
  <si>
    <t>002445</t>
  </si>
  <si>
    <t>Maheen Akhtar</t>
  </si>
  <si>
    <t>Naeem Akhtar</t>
  </si>
  <si>
    <t>002513</t>
  </si>
  <si>
    <t>Abdul Rahman</t>
  </si>
  <si>
    <t>Azam Shahzad  (Late)</t>
  </si>
  <si>
    <t>Shahzad Arsahad</t>
  </si>
  <si>
    <t>30/10/2025</t>
  </si>
  <si>
    <t>002518</t>
  </si>
  <si>
    <t>Shawaiz</t>
  </si>
  <si>
    <t>Zahid</t>
  </si>
  <si>
    <t>002418</t>
  </si>
  <si>
    <t>002424</t>
  </si>
  <si>
    <t>Raja Awais</t>
  </si>
  <si>
    <t>Rashid Mehmood</t>
  </si>
  <si>
    <t>002428</t>
  </si>
  <si>
    <t>Eshal Fatima</t>
  </si>
  <si>
    <t>002437</t>
  </si>
  <si>
    <t>Huzaifa Farhan</t>
  </si>
  <si>
    <t>Raja Farhan Arshad</t>
  </si>
  <si>
    <t>002461</t>
  </si>
  <si>
    <t>Zakria</t>
  </si>
  <si>
    <t>Muhammad Ashraf</t>
  </si>
  <si>
    <t>002502</t>
  </si>
  <si>
    <t>Eman Fatima</t>
  </si>
  <si>
    <t>2024-004</t>
  </si>
  <si>
    <t>Omar Baig</t>
  </si>
  <si>
    <t>002427</t>
  </si>
  <si>
    <t>Makhad Abdullah</t>
  </si>
  <si>
    <t>002432</t>
  </si>
  <si>
    <t>Faizan Ali 6th</t>
  </si>
  <si>
    <t>Sajjad</t>
  </si>
  <si>
    <t>002512</t>
  </si>
  <si>
    <t>Asma Azam</t>
  </si>
  <si>
    <t>Ahsan Khalil</t>
  </si>
  <si>
    <t>002448</t>
  </si>
  <si>
    <t>Mudasir majeed</t>
  </si>
  <si>
    <t>Abdul Majeed</t>
  </si>
  <si>
    <t>002449</t>
  </si>
  <si>
    <t>002410</t>
  </si>
  <si>
    <t>Abubakar Shah</t>
  </si>
  <si>
    <t>Khaqaan Shah</t>
  </si>
  <si>
    <t>2024-007</t>
  </si>
  <si>
    <t>Muqadas Ismail</t>
  </si>
  <si>
    <t>002426</t>
  </si>
  <si>
    <t>Aiman</t>
  </si>
  <si>
    <t>002456</t>
  </si>
  <si>
    <t xml:space="preserve">Saad Ali </t>
  </si>
  <si>
    <t>Muhammad Asif Farooq</t>
  </si>
  <si>
    <t>002443</t>
  </si>
  <si>
    <t xml:space="preserve">zainab ibrar </t>
  </si>
  <si>
    <t>Abrar Ahmed</t>
  </si>
  <si>
    <t>002476</t>
  </si>
  <si>
    <t>Mahnoor Afrahim</t>
  </si>
  <si>
    <t>Muhammad Afrahim</t>
  </si>
  <si>
    <t>002501</t>
  </si>
  <si>
    <t>Zoha Fatima</t>
  </si>
  <si>
    <t>2025-001</t>
  </si>
  <si>
    <t>Dar Suhail</t>
  </si>
  <si>
    <t>002511</t>
  </si>
  <si>
    <t>Hafsa Azam</t>
  </si>
  <si>
    <t>2025-004</t>
  </si>
  <si>
    <t>Farhan Riaz</t>
  </si>
  <si>
    <t>30-10-2025</t>
  </si>
  <si>
    <t>002459</t>
  </si>
  <si>
    <t>Zoha Farhan</t>
  </si>
  <si>
    <t>Farhan Zaib</t>
  </si>
  <si>
    <t>002532</t>
  </si>
  <si>
    <t>Amir Shakeel</t>
  </si>
  <si>
    <t>Muhammad Shakeel Khan</t>
  </si>
  <si>
    <t>002516</t>
  </si>
  <si>
    <t>Rubab Akhtar</t>
  </si>
  <si>
    <t>NA</t>
  </si>
  <si>
    <t>002527</t>
  </si>
  <si>
    <t>002528</t>
  </si>
  <si>
    <t>8 (Arts Group)</t>
  </si>
  <si>
    <t>002529</t>
  </si>
  <si>
    <t>Noor Fatima</t>
  </si>
  <si>
    <t>Tehfeez-ul-Quran</t>
  </si>
  <si>
    <t>002530</t>
  </si>
  <si>
    <t>Ayesha Saddiqa</t>
  </si>
  <si>
    <t>002416</t>
  </si>
  <si>
    <t>Azan  Ilyas</t>
  </si>
  <si>
    <t>Muhammad Ilyas</t>
  </si>
  <si>
    <t>002417</t>
  </si>
  <si>
    <t xml:space="preserve">Hasam Ilyas  </t>
  </si>
  <si>
    <t>002422</t>
  </si>
  <si>
    <t>Abdullah Imran</t>
  </si>
  <si>
    <t>Imran Khan</t>
  </si>
  <si>
    <t>002411</t>
  </si>
  <si>
    <t xml:space="preserve">Daniyal Abbasi     </t>
  </si>
  <si>
    <t>Taimoor Ali Abbasi</t>
  </si>
  <si>
    <t>2024-010</t>
  </si>
  <si>
    <t>Salman Khalid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</si>
</sst>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\ g;@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Arial"/>
      <family val="2"/>
    </font>
    <font>
      <sz val="12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/>
    <xf numFmtId="49" fontId="0" fillId="0" borderId="0" xfId="0" applyNumberFormat="1"/>
    <xf numFmtId="0" fontId="0" fillId="2" borderId="0" xfId="0" applyFill="1"/>
    <xf numFmtId="0" fontId="3" fillId="0" borderId="1" xfId="0" applyFont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5"/>
  <sheetViews>
    <sheetView tabSelected="1" zoomScale="66" workbookViewId="0">
      <selection activeCell="O75" sqref="D75:O77"/>
    </sheetView>
  </sheetViews>
  <sheetFormatPr defaultColWidth="8.6640625" defaultRowHeight="15.5" x14ac:dyDescent="0.35"/>
  <cols>
    <col min="1" max="1" width="8.6640625" style="2"/>
    <col min="2" max="2" width="23.08203125" style="2" customWidth="1"/>
    <col min="3" max="3" width="20.83203125" style="2" customWidth="1"/>
    <col min="4" max="4" width="23.5" style="2" customWidth="1"/>
    <col min="5" max="5" width="15.6640625" style="2" customWidth="1"/>
    <col min="6" max="6" width="12.6640625" style="2" customWidth="1"/>
    <col min="7" max="7" width="36" style="2" customWidth="1"/>
    <col min="8" max="8" width="17" style="27" customWidth="1"/>
    <col min="9" max="9" width="8.6640625" style="2"/>
    <col min="10" max="10" width="29.33203125" style="2" customWidth="1"/>
    <col min="11" max="11" width="10" style="1" customWidth="1"/>
    <col min="12" max="14" width="8.6640625" style="1"/>
    <col min="15" max="15" width="18.58203125" style="1" customWidth="1"/>
    <col min="16" max="16" width="16.1640625" style="1" customWidth="1"/>
    <col min="17" max="17" width="14" style="1" customWidth="1"/>
    <col min="18" max="18" width="16.58203125" style="1" customWidth="1"/>
    <col min="19" max="19" width="10.08203125" style="1" customWidth="1"/>
    <col min="20" max="20" width="16.58203125" style="1" customWidth="1"/>
    <col min="21" max="22" width="8.6640625" style="1"/>
    <col min="23" max="23" width="13.58203125" style="1" customWidth="1"/>
    <col min="24" max="26" width="8.6640625" style="1"/>
    <col min="27" max="27" width="41.1640625" style="1" customWidth="1"/>
    <col min="28" max="28" width="20.08203125" style="1" customWidth="1"/>
    <col min="29" max="29" width="16.5" style="1" customWidth="1"/>
    <col min="30" max="30" width="12.33203125" style="1" customWidth="1"/>
    <col min="31" max="32" width="10.83203125" style="1" customWidth="1"/>
    <col min="33" max="33" width="11" style="1" customWidth="1"/>
    <col min="34" max="34" width="9.5" style="1" customWidth="1"/>
    <col min="35" max="35" width="8.58203125" style="1" customWidth="1"/>
    <col min="36" max="36" width="9.33203125" style="1" customWidth="1"/>
    <col min="37" max="47" width="8.6640625" style="1"/>
    <col min="48" max="16384" width="8.6640625" style="2"/>
  </cols>
  <sheetData>
    <row r="1" spans="1:79" s="3" customForma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62</v>
      </c>
      <c r="F1" s="16" t="s">
        <v>4</v>
      </c>
      <c r="G1" s="16" t="s">
        <v>5</v>
      </c>
      <c r="H1" s="24" t="s">
        <v>6</v>
      </c>
      <c r="I1" s="16" t="s">
        <v>7</v>
      </c>
      <c r="J1" s="16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64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63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30</v>
      </c>
      <c r="AE1" s="4" t="s">
        <v>32</v>
      </c>
      <c r="AF1" s="4" t="s">
        <v>34</v>
      </c>
      <c r="AG1" s="4" t="s">
        <v>51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38</v>
      </c>
      <c r="AM1" s="4" t="s">
        <v>38</v>
      </c>
      <c r="AN1" s="4" t="s">
        <v>38</v>
      </c>
      <c r="AO1" s="4" t="s">
        <v>38</v>
      </c>
      <c r="AP1" s="4" t="s">
        <v>38</v>
      </c>
      <c r="AQ1" s="4" t="s">
        <v>38</v>
      </c>
      <c r="AR1" s="4" t="s">
        <v>38</v>
      </c>
      <c r="AS1" s="4" t="s">
        <v>38</v>
      </c>
      <c r="AT1" s="4" t="s">
        <v>38</v>
      </c>
      <c r="AU1" s="4" t="s">
        <v>38</v>
      </c>
      <c r="AV1" s="3" t="s">
        <v>38</v>
      </c>
      <c r="AW1" s="3" t="s">
        <v>38</v>
      </c>
      <c r="AX1" s="3" t="s">
        <v>38</v>
      </c>
      <c r="AY1" s="3" t="s">
        <v>38</v>
      </c>
      <c r="AZ1" s="3" t="s">
        <v>38</v>
      </c>
      <c r="BA1" s="3" t="s">
        <v>38</v>
      </c>
      <c r="BB1" s="3" t="s">
        <v>38</v>
      </c>
      <c r="BC1" s="3" t="s">
        <v>38</v>
      </c>
      <c r="BD1" s="3" t="s">
        <v>38</v>
      </c>
      <c r="BE1" s="3" t="s">
        <v>38</v>
      </c>
      <c r="BF1" s="3" t="s">
        <v>38</v>
      </c>
      <c r="BG1" s="3" t="s">
        <v>38</v>
      </c>
      <c r="BH1" s="3" t="s">
        <v>38</v>
      </c>
      <c r="BI1" s="3" t="s">
        <v>38</v>
      </c>
      <c r="BJ1" s="3" t="s">
        <v>38</v>
      </c>
      <c r="BK1" s="3" t="s">
        <v>38</v>
      </c>
      <c r="BL1" s="3" t="s">
        <v>38</v>
      </c>
      <c r="BM1" s="3" t="s">
        <v>38</v>
      </c>
      <c r="BN1" s="3" t="s">
        <v>38</v>
      </c>
      <c r="BO1" s="3" t="s">
        <v>38</v>
      </c>
      <c r="BP1" s="3" t="s">
        <v>38</v>
      </c>
      <c r="BQ1" s="3" t="s">
        <v>38</v>
      </c>
      <c r="BR1" s="3" t="s">
        <v>38</v>
      </c>
      <c r="BS1" s="3" t="s">
        <v>38</v>
      </c>
      <c r="BT1" s="3" t="s">
        <v>38</v>
      </c>
      <c r="BU1" s="3" t="s">
        <v>38</v>
      </c>
      <c r="BV1" s="3" t="s">
        <v>38</v>
      </c>
      <c r="BW1" s="3" t="s">
        <v>38</v>
      </c>
      <c r="BX1" s="3" t="s">
        <v>38</v>
      </c>
      <c r="BY1" s="3" t="s">
        <v>38</v>
      </c>
      <c r="BZ1" s="3" t="s">
        <v>38</v>
      </c>
      <c r="CA1" s="3" t="s">
        <v>38</v>
      </c>
    </row>
    <row r="2" spans="1:79" x14ac:dyDescent="0.35">
      <c r="A2" s="17" t="s">
        <v>65</v>
      </c>
      <c r="B2" s="17" t="s">
        <v>66</v>
      </c>
      <c r="C2" s="17" t="s">
        <v>67</v>
      </c>
      <c r="D2" s="17" t="s">
        <v>68</v>
      </c>
      <c r="E2" s="17" t="s">
        <v>69</v>
      </c>
      <c r="F2" s="17" t="s">
        <v>280</v>
      </c>
      <c r="G2" s="17" t="s">
        <v>280</v>
      </c>
      <c r="H2" s="18" t="s">
        <v>280</v>
      </c>
      <c r="I2" s="17" t="s">
        <v>70</v>
      </c>
      <c r="J2" s="17" t="str">
        <f>IF(AI2&gt;=80, "Outstanding achievement! You are a shining star of our class.", IF(AI2&gt;=70, "Impressive work! Your dedication is truly paying off.", IF(AI2&gt;=60, "Well done! You have great potential to achieve even more.", IF(AI2&gt;=50, "Good effort! A little more focus will lead to better results.", IF(AI2&gt;=40, "Don't lose heart! With extra hard work, you can improve.", "We believe in you! Let's work together for a strong comeback.")))))</f>
        <v>Outstanding achievement! You are a shining star of our class.</v>
      </c>
      <c r="K2" s="5">
        <v>49</v>
      </c>
      <c r="L2" s="5">
        <v>49</v>
      </c>
      <c r="M2" s="5">
        <v>49</v>
      </c>
      <c r="N2" s="2"/>
      <c r="O2" s="5">
        <v>14</v>
      </c>
      <c r="P2" s="2"/>
      <c r="Q2" s="2"/>
      <c r="R2" s="2"/>
      <c r="S2" s="2"/>
      <c r="T2" s="2"/>
      <c r="U2" s="5">
        <v>8</v>
      </c>
      <c r="V2" s="2"/>
      <c r="W2" s="2"/>
      <c r="X2" s="2"/>
      <c r="Y2" s="2"/>
      <c r="Z2" s="2"/>
      <c r="AA2" s="2"/>
      <c r="AB2" s="2"/>
      <c r="AC2" s="5">
        <v>24</v>
      </c>
      <c r="AD2" s="5">
        <v>23</v>
      </c>
      <c r="AE2" s="5">
        <v>23</v>
      </c>
      <c r="AF2" s="5">
        <v>19</v>
      </c>
      <c r="AG2" s="2"/>
      <c r="AH2" s="2">
        <f>SUM(K2:AF2)</f>
        <v>258</v>
      </c>
      <c r="AI2" s="2">
        <f>(AH2/275)*100</f>
        <v>93.818181818181827</v>
      </c>
      <c r="AJ2" s="2" t="str">
        <f>IF(A2&gt;=80, "A+", IF(A2&gt;=70, "A", IF(A2&gt;=60, "B", IF(A2&gt;=50, "C", IF(A2&gt;=40, "D", "FAIL")))))</f>
        <v>A+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79" x14ac:dyDescent="0.35">
      <c r="A3" s="17" t="s">
        <v>71</v>
      </c>
      <c r="B3" s="17" t="s">
        <v>72</v>
      </c>
      <c r="C3" s="17" t="s">
        <v>67</v>
      </c>
      <c r="D3" s="17" t="s">
        <v>68</v>
      </c>
      <c r="E3" s="17" t="s">
        <v>69</v>
      </c>
      <c r="F3" s="17" t="s">
        <v>280</v>
      </c>
      <c r="G3" s="17" t="s">
        <v>280</v>
      </c>
      <c r="H3" s="18" t="s">
        <v>280</v>
      </c>
      <c r="I3" s="17" t="s">
        <v>70</v>
      </c>
      <c r="J3" s="17" t="str">
        <f t="shared" ref="J3:J19" si="0">IF(AI3&gt;=80, "Outstanding achievement! You are a shining star of our class.", IF(AI3&gt;=70, "Impressive work! Your dedication is truly paying off.", IF(AI3&gt;=60, "Well done! You have great potential to achieve even more.", IF(AI3&gt;=50, "Good effort! A little more focus will lead to better results.", IF(AI3&gt;=40, "Don't lose heart! With extra hard work, you can improve.", "We believe in you! Let's work together for a strong comeback.")))))</f>
        <v>Outstanding achievement! You are a shining star of our class.</v>
      </c>
      <c r="K3" s="5">
        <v>50</v>
      </c>
      <c r="L3" s="5">
        <v>50</v>
      </c>
      <c r="M3" s="5">
        <v>48</v>
      </c>
      <c r="N3" s="2"/>
      <c r="O3" s="5">
        <v>16</v>
      </c>
      <c r="P3" s="2"/>
      <c r="Q3" s="2"/>
      <c r="R3" s="2"/>
      <c r="S3" s="2"/>
      <c r="T3" s="2"/>
      <c r="U3" s="5">
        <v>7</v>
      </c>
      <c r="V3" s="2"/>
      <c r="W3" s="2"/>
      <c r="X3" s="2"/>
      <c r="Y3" s="2"/>
      <c r="Z3" s="2"/>
      <c r="AA3" s="2"/>
      <c r="AB3" s="2"/>
      <c r="AC3" s="5">
        <v>24</v>
      </c>
      <c r="AD3" s="5">
        <v>24</v>
      </c>
      <c r="AE3" s="5">
        <v>22</v>
      </c>
      <c r="AF3" s="5">
        <v>20</v>
      </c>
      <c r="AG3" s="2"/>
      <c r="AH3" s="2">
        <f t="shared" ref="AH3:AH19" si="1">SUM(K3:AF3)</f>
        <v>261</v>
      </c>
      <c r="AI3" s="2">
        <f t="shared" ref="AI3:AI19" si="2">(AH3/275)*100</f>
        <v>94.909090909090907</v>
      </c>
      <c r="AJ3" s="2" t="str">
        <f t="shared" ref="AJ3:AJ19" si="3">IF(A3&gt;=80, "A+", IF(A3&gt;=70, "A", IF(A3&gt;=60, "B", IF(A3&gt;=50, "C", IF(A3&gt;=40, "D", "FAIL")))))</f>
        <v>A+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79" x14ac:dyDescent="0.35">
      <c r="A4" s="17" t="s">
        <v>73</v>
      </c>
      <c r="B4" s="17" t="s">
        <v>74</v>
      </c>
      <c r="C4" s="17" t="s">
        <v>75</v>
      </c>
      <c r="D4" s="17" t="s">
        <v>68</v>
      </c>
      <c r="E4" s="17" t="s">
        <v>69</v>
      </c>
      <c r="F4" s="17" t="s">
        <v>280</v>
      </c>
      <c r="G4" s="17" t="s">
        <v>280</v>
      </c>
      <c r="H4" s="18" t="s">
        <v>280</v>
      </c>
      <c r="I4" s="17" t="s">
        <v>70</v>
      </c>
      <c r="J4" s="17" t="str">
        <f>IF(AI4&gt;=80, "Outstanding achievement! You are a shining star of our class.", IF(AI4&gt;=70, "Impressive work! Your dedication is truly paying off.", IF(AI4&gt;=60, "Well done! You have great potential to achieve even more.", IF(AI4&gt;=50, "Good effort! A little more focus will lead to better results.", IF(AI4&gt;=40, "Don't lose heart! With extra hard work, you can improve.", "We believe in you! Let's work together for a strong comeback.")))))</f>
        <v>Outstanding achievement! You are a shining star of our class.</v>
      </c>
      <c r="K4" s="5">
        <v>49</v>
      </c>
      <c r="L4" s="5">
        <v>50</v>
      </c>
      <c r="M4" s="5">
        <v>45</v>
      </c>
      <c r="N4" s="2"/>
      <c r="O4" s="5">
        <v>17</v>
      </c>
      <c r="P4" s="2"/>
      <c r="Q4" s="2"/>
      <c r="R4" s="2"/>
      <c r="S4" s="2"/>
      <c r="T4" s="2"/>
      <c r="U4" s="5">
        <v>9</v>
      </c>
      <c r="V4" s="2"/>
      <c r="W4" s="2"/>
      <c r="X4" s="2"/>
      <c r="Y4" s="2"/>
      <c r="Z4" s="2"/>
      <c r="AA4" s="2"/>
      <c r="AB4" s="2"/>
      <c r="AC4" s="5">
        <v>25</v>
      </c>
      <c r="AD4" s="5">
        <v>25</v>
      </c>
      <c r="AE4" s="5">
        <v>25</v>
      </c>
      <c r="AF4" s="5">
        <v>19</v>
      </c>
      <c r="AG4" s="2"/>
      <c r="AH4" s="2">
        <f t="shared" si="1"/>
        <v>264</v>
      </c>
      <c r="AI4" s="2">
        <f t="shared" si="2"/>
        <v>96</v>
      </c>
      <c r="AJ4" s="2" t="str">
        <f t="shared" si="3"/>
        <v>A+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79" x14ac:dyDescent="0.35">
      <c r="A5" s="17" t="s">
        <v>76</v>
      </c>
      <c r="B5" s="17" t="s">
        <v>77</v>
      </c>
      <c r="C5" s="17" t="s">
        <v>78</v>
      </c>
      <c r="D5" s="17" t="s">
        <v>68</v>
      </c>
      <c r="E5" s="17" t="s">
        <v>69</v>
      </c>
      <c r="F5" s="17" t="s">
        <v>280</v>
      </c>
      <c r="G5" s="17" t="s">
        <v>280</v>
      </c>
      <c r="H5" s="18" t="s">
        <v>280</v>
      </c>
      <c r="I5" s="17" t="s">
        <v>79</v>
      </c>
      <c r="J5" s="17" t="str">
        <f t="shared" si="0"/>
        <v>Outstanding achievement! You are a shining star of our class.</v>
      </c>
      <c r="K5" s="5">
        <v>45</v>
      </c>
      <c r="L5" s="5">
        <v>44</v>
      </c>
      <c r="M5" s="5">
        <v>43</v>
      </c>
      <c r="N5" s="2"/>
      <c r="O5" s="5">
        <v>13</v>
      </c>
      <c r="P5" s="2"/>
      <c r="Q5" s="2"/>
      <c r="R5" s="2"/>
      <c r="S5" s="2"/>
      <c r="T5" s="2"/>
      <c r="U5" s="5">
        <v>7</v>
      </c>
      <c r="V5" s="2"/>
      <c r="W5" s="2"/>
      <c r="X5" s="2"/>
      <c r="Y5" s="2"/>
      <c r="Z5" s="2"/>
      <c r="AA5" s="2"/>
      <c r="AB5" s="2"/>
      <c r="AC5" s="5">
        <v>23</v>
      </c>
      <c r="AD5" s="5">
        <v>20</v>
      </c>
      <c r="AE5" s="5">
        <v>20</v>
      </c>
      <c r="AF5" s="5">
        <v>19</v>
      </c>
      <c r="AG5" s="2"/>
      <c r="AH5" s="2">
        <f t="shared" si="1"/>
        <v>234</v>
      </c>
      <c r="AI5" s="2">
        <f t="shared" si="2"/>
        <v>85.090909090909093</v>
      </c>
      <c r="AJ5" s="2" t="str">
        <f t="shared" si="3"/>
        <v>A+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79" x14ac:dyDescent="0.35">
      <c r="A6" s="17" t="s">
        <v>80</v>
      </c>
      <c r="B6" s="17" t="s">
        <v>81</v>
      </c>
      <c r="C6" s="17" t="s">
        <v>82</v>
      </c>
      <c r="D6" s="17" t="s">
        <v>68</v>
      </c>
      <c r="E6" s="17" t="s">
        <v>69</v>
      </c>
      <c r="F6" s="17" t="s">
        <v>280</v>
      </c>
      <c r="G6" s="17" t="s">
        <v>280</v>
      </c>
      <c r="H6" s="18">
        <v>45666</v>
      </c>
      <c r="I6" s="17" t="s">
        <v>79</v>
      </c>
      <c r="J6" s="17" t="str">
        <f t="shared" si="0"/>
        <v>Outstanding achievement! You are a shining star of our class.</v>
      </c>
      <c r="K6" s="5">
        <v>44</v>
      </c>
      <c r="L6" s="5">
        <v>47</v>
      </c>
      <c r="M6" s="5">
        <v>46</v>
      </c>
      <c r="N6" s="2"/>
      <c r="O6" s="5">
        <v>15</v>
      </c>
      <c r="P6" s="2"/>
      <c r="Q6" s="2"/>
      <c r="R6" s="2"/>
      <c r="S6" s="2"/>
      <c r="T6" s="2"/>
      <c r="U6" s="5">
        <v>8</v>
      </c>
      <c r="V6" s="2"/>
      <c r="W6" s="2"/>
      <c r="X6" s="2"/>
      <c r="Y6" s="2"/>
      <c r="Z6" s="2"/>
      <c r="AA6" s="2"/>
      <c r="AB6" s="2"/>
      <c r="AC6" s="5">
        <v>22</v>
      </c>
      <c r="AD6" s="5">
        <v>20</v>
      </c>
      <c r="AE6" s="5">
        <v>23</v>
      </c>
      <c r="AF6" s="5">
        <v>18</v>
      </c>
      <c r="AG6" s="2"/>
      <c r="AH6" s="2">
        <f t="shared" si="1"/>
        <v>243</v>
      </c>
      <c r="AI6" s="2">
        <f t="shared" si="2"/>
        <v>88.36363636363636</v>
      </c>
      <c r="AJ6" s="2" t="str">
        <f t="shared" si="3"/>
        <v>A+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79" x14ac:dyDescent="0.35">
      <c r="A7" s="17" t="s">
        <v>83</v>
      </c>
      <c r="B7" s="17" t="s">
        <v>84</v>
      </c>
      <c r="C7" s="17" t="s">
        <v>82</v>
      </c>
      <c r="D7" s="17" t="s">
        <v>85</v>
      </c>
      <c r="E7" s="17" t="s">
        <v>69</v>
      </c>
      <c r="F7" s="17" t="s">
        <v>86</v>
      </c>
      <c r="G7" s="17" t="s">
        <v>87</v>
      </c>
      <c r="H7" s="18">
        <v>45666</v>
      </c>
      <c r="I7" s="17" t="s">
        <v>79</v>
      </c>
      <c r="J7" s="17" t="str">
        <f t="shared" si="0"/>
        <v>Outstanding achievement! You are a shining star of our class.</v>
      </c>
      <c r="K7" s="5">
        <v>42</v>
      </c>
      <c r="L7" s="5">
        <v>43</v>
      </c>
      <c r="M7" s="5">
        <v>44</v>
      </c>
      <c r="N7" s="2"/>
      <c r="O7" s="5">
        <v>14</v>
      </c>
      <c r="P7" s="2"/>
      <c r="Q7" s="2"/>
      <c r="R7" s="2"/>
      <c r="S7" s="2"/>
      <c r="T7" s="2"/>
      <c r="U7" s="5">
        <v>6</v>
      </c>
      <c r="V7" s="2"/>
      <c r="W7" s="2"/>
      <c r="X7" s="2"/>
      <c r="Y7" s="2"/>
      <c r="Z7" s="2"/>
      <c r="AA7" s="2"/>
      <c r="AB7" s="2"/>
      <c r="AC7" s="5">
        <v>21</v>
      </c>
      <c r="AD7" s="5">
        <v>20</v>
      </c>
      <c r="AE7" s="5">
        <v>22</v>
      </c>
      <c r="AF7" s="5">
        <v>19</v>
      </c>
      <c r="AG7" s="2"/>
      <c r="AH7" s="2">
        <f t="shared" si="1"/>
        <v>231</v>
      </c>
      <c r="AI7" s="2">
        <f t="shared" si="2"/>
        <v>84</v>
      </c>
      <c r="AJ7" s="2" t="str">
        <f t="shared" si="3"/>
        <v>A+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79" x14ac:dyDescent="0.35">
      <c r="A8" s="17" t="s">
        <v>88</v>
      </c>
      <c r="B8" s="17" t="s">
        <v>89</v>
      </c>
      <c r="C8" s="17" t="s">
        <v>90</v>
      </c>
      <c r="D8" s="17" t="s">
        <v>85</v>
      </c>
      <c r="E8" s="17" t="s">
        <v>69</v>
      </c>
      <c r="F8" s="17" t="s">
        <v>280</v>
      </c>
      <c r="G8" s="17" t="s">
        <v>280</v>
      </c>
      <c r="H8" s="18" t="s">
        <v>280</v>
      </c>
      <c r="I8" s="17" t="s">
        <v>79</v>
      </c>
      <c r="J8" s="17" t="str">
        <f t="shared" si="0"/>
        <v>Outstanding achievement! You are a shining star of our class.</v>
      </c>
      <c r="K8" s="5">
        <v>49</v>
      </c>
      <c r="L8" s="5">
        <v>47</v>
      </c>
      <c r="M8" s="5">
        <v>47</v>
      </c>
      <c r="N8" s="2"/>
      <c r="O8" s="5">
        <v>18</v>
      </c>
      <c r="P8" s="2"/>
      <c r="Q8" s="2"/>
      <c r="R8" s="2"/>
      <c r="S8" s="2"/>
      <c r="T8" s="2"/>
      <c r="U8" s="5">
        <v>8</v>
      </c>
      <c r="V8" s="2"/>
      <c r="W8" s="2"/>
      <c r="X8" s="2"/>
      <c r="Y8" s="2"/>
      <c r="Z8" s="2"/>
      <c r="AA8" s="2"/>
      <c r="AB8" s="2"/>
      <c r="AC8" s="5">
        <v>24</v>
      </c>
      <c r="AD8" s="5">
        <v>23</v>
      </c>
      <c r="AE8" s="5">
        <v>23</v>
      </c>
      <c r="AF8" s="5">
        <v>20</v>
      </c>
      <c r="AG8" s="2"/>
      <c r="AH8" s="2">
        <f t="shared" si="1"/>
        <v>259</v>
      </c>
      <c r="AI8" s="2">
        <f t="shared" si="2"/>
        <v>94.181818181818173</v>
      </c>
      <c r="AJ8" s="2" t="str">
        <f t="shared" si="3"/>
        <v>A+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79" x14ac:dyDescent="0.35">
      <c r="A9" s="17" t="s">
        <v>91</v>
      </c>
      <c r="B9" s="17" t="s">
        <v>92</v>
      </c>
      <c r="C9" s="17" t="s">
        <v>82</v>
      </c>
      <c r="D9" s="17" t="s">
        <v>85</v>
      </c>
      <c r="E9" s="17" t="s">
        <v>69</v>
      </c>
      <c r="F9" s="17" t="s">
        <v>93</v>
      </c>
      <c r="G9" s="17" t="s">
        <v>94</v>
      </c>
      <c r="H9" s="18">
        <v>45666</v>
      </c>
      <c r="I9" s="17" t="s">
        <v>79</v>
      </c>
      <c r="J9" s="17" t="str">
        <f t="shared" si="0"/>
        <v>Outstanding achievement! You are a shining star of our class.</v>
      </c>
      <c r="K9" s="5">
        <v>45</v>
      </c>
      <c r="L9" s="5">
        <v>46</v>
      </c>
      <c r="M9" s="5">
        <v>44</v>
      </c>
      <c r="N9" s="2"/>
      <c r="O9" s="5">
        <v>17</v>
      </c>
      <c r="P9" s="2"/>
      <c r="Q9" s="2"/>
      <c r="R9" s="2"/>
      <c r="S9" s="2"/>
      <c r="T9" s="2"/>
      <c r="U9" s="5">
        <v>7</v>
      </c>
      <c r="V9" s="2"/>
      <c r="W9" s="2"/>
      <c r="X9" s="2"/>
      <c r="Y9" s="2"/>
      <c r="Z9" s="2"/>
      <c r="AA9" s="2"/>
      <c r="AB9" s="2"/>
      <c r="AC9" s="5">
        <v>23</v>
      </c>
      <c r="AD9" s="5">
        <v>22</v>
      </c>
      <c r="AE9" s="5">
        <v>21</v>
      </c>
      <c r="AF9" s="5">
        <v>20</v>
      </c>
      <c r="AG9" s="2"/>
      <c r="AH9" s="2">
        <f t="shared" si="1"/>
        <v>245</v>
      </c>
      <c r="AI9" s="2">
        <f t="shared" si="2"/>
        <v>89.090909090909093</v>
      </c>
      <c r="AJ9" s="2" t="str">
        <f t="shared" si="3"/>
        <v>A+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79" x14ac:dyDescent="0.35">
      <c r="A10" s="23" t="s">
        <v>282</v>
      </c>
      <c r="B10" s="17" t="s">
        <v>96</v>
      </c>
      <c r="C10" s="17" t="s">
        <v>97</v>
      </c>
      <c r="D10" s="17" t="s">
        <v>85</v>
      </c>
      <c r="E10" s="17" t="s">
        <v>69</v>
      </c>
      <c r="F10" s="17" t="s">
        <v>280</v>
      </c>
      <c r="G10" s="17" t="s">
        <v>280</v>
      </c>
      <c r="H10" s="18" t="s">
        <v>280</v>
      </c>
      <c r="I10" s="17" t="s">
        <v>79</v>
      </c>
      <c r="J10" s="17" t="str">
        <f t="shared" si="0"/>
        <v>Outstanding achievement! You are a shining star of our class.</v>
      </c>
      <c r="K10" s="5">
        <v>50</v>
      </c>
      <c r="L10" s="5">
        <v>50</v>
      </c>
      <c r="M10" s="5">
        <v>49</v>
      </c>
      <c r="N10" s="2"/>
      <c r="O10" s="5">
        <v>19</v>
      </c>
      <c r="P10" s="2"/>
      <c r="Q10" s="2"/>
      <c r="R10" s="2"/>
      <c r="S10" s="2"/>
      <c r="T10" s="2"/>
      <c r="U10" s="5">
        <v>9</v>
      </c>
      <c r="V10" s="2"/>
      <c r="W10" s="2"/>
      <c r="X10" s="2"/>
      <c r="Y10" s="2"/>
      <c r="Z10" s="2"/>
      <c r="AA10" s="2"/>
      <c r="AB10" s="2"/>
      <c r="AC10" s="5">
        <v>25</v>
      </c>
      <c r="AD10" s="5">
        <v>25</v>
      </c>
      <c r="AE10" s="5">
        <v>24</v>
      </c>
      <c r="AF10" s="5">
        <v>20</v>
      </c>
      <c r="AG10" s="2"/>
      <c r="AH10" s="2">
        <f t="shared" si="1"/>
        <v>271</v>
      </c>
      <c r="AI10" s="2">
        <f t="shared" si="2"/>
        <v>98.545454545454547</v>
      </c>
      <c r="AJ10" s="2" t="str">
        <f t="shared" si="3"/>
        <v>A+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79" x14ac:dyDescent="0.35">
      <c r="A11" s="17" t="s">
        <v>98</v>
      </c>
      <c r="B11" s="17" t="s">
        <v>99</v>
      </c>
      <c r="C11" s="17" t="s">
        <v>100</v>
      </c>
      <c r="D11" s="17" t="s">
        <v>85</v>
      </c>
      <c r="E11" s="17" t="s">
        <v>69</v>
      </c>
      <c r="F11" s="17" t="s">
        <v>280</v>
      </c>
      <c r="G11" s="17" t="s">
        <v>280</v>
      </c>
      <c r="H11" s="18" t="s">
        <v>280</v>
      </c>
      <c r="I11" s="17" t="s">
        <v>79</v>
      </c>
      <c r="J11" s="17" t="str">
        <f t="shared" si="0"/>
        <v>Outstanding achievement! You are a shining star of our class.</v>
      </c>
      <c r="K11" s="5">
        <v>49</v>
      </c>
      <c r="L11" s="5">
        <v>49.5</v>
      </c>
      <c r="M11" s="5">
        <v>47</v>
      </c>
      <c r="N11" s="2"/>
      <c r="O11" s="5">
        <v>20</v>
      </c>
      <c r="P11" s="2"/>
      <c r="Q11" s="2"/>
      <c r="R11" s="2"/>
      <c r="S11" s="2"/>
      <c r="T11" s="2"/>
      <c r="U11" s="5">
        <v>10</v>
      </c>
      <c r="V11" s="2"/>
      <c r="W11" s="2"/>
      <c r="X11" s="2"/>
      <c r="Y11" s="2"/>
      <c r="Z11" s="2"/>
      <c r="AA11" s="2"/>
      <c r="AB11" s="2"/>
      <c r="AC11" s="5">
        <v>25</v>
      </c>
      <c r="AD11" s="5">
        <v>24</v>
      </c>
      <c r="AE11" s="5">
        <v>25</v>
      </c>
      <c r="AF11" s="5">
        <v>19</v>
      </c>
      <c r="AG11" s="2"/>
      <c r="AH11" s="2">
        <f t="shared" si="1"/>
        <v>268.5</v>
      </c>
      <c r="AI11" s="2">
        <f t="shared" si="2"/>
        <v>97.636363636363626</v>
      </c>
      <c r="AJ11" s="2" t="str">
        <f t="shared" si="3"/>
        <v>A+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79" x14ac:dyDescent="0.35">
      <c r="A12" s="6" t="s">
        <v>101</v>
      </c>
      <c r="B12" s="17" t="s">
        <v>102</v>
      </c>
      <c r="C12" s="17" t="s">
        <v>103</v>
      </c>
      <c r="D12" s="17" t="s">
        <v>85</v>
      </c>
      <c r="E12" s="17" t="s">
        <v>69</v>
      </c>
      <c r="F12" s="17" t="s">
        <v>280</v>
      </c>
      <c r="G12" s="17" t="s">
        <v>280</v>
      </c>
      <c r="H12" s="18" t="s">
        <v>280</v>
      </c>
      <c r="I12" s="17" t="s">
        <v>79</v>
      </c>
      <c r="J12" s="17" t="str">
        <f t="shared" si="0"/>
        <v>Outstanding achievement! You are a shining star of our class.</v>
      </c>
      <c r="K12" s="5">
        <v>48</v>
      </c>
      <c r="L12" s="5">
        <v>47</v>
      </c>
      <c r="M12" s="5">
        <v>39</v>
      </c>
      <c r="N12" s="2"/>
      <c r="O12" s="5">
        <v>16</v>
      </c>
      <c r="P12" s="2"/>
      <c r="Q12" s="2"/>
      <c r="R12" s="2"/>
      <c r="S12" s="2"/>
      <c r="T12" s="2"/>
      <c r="U12" s="5">
        <v>7</v>
      </c>
      <c r="V12" s="2"/>
      <c r="W12" s="2"/>
      <c r="X12" s="2"/>
      <c r="Y12" s="2"/>
      <c r="Z12" s="2"/>
      <c r="AA12" s="2"/>
      <c r="AB12" s="2"/>
      <c r="AC12" s="5">
        <v>23</v>
      </c>
      <c r="AD12" s="5">
        <v>22</v>
      </c>
      <c r="AE12" s="5">
        <v>22</v>
      </c>
      <c r="AF12" s="5">
        <v>20</v>
      </c>
      <c r="AG12" s="2"/>
      <c r="AH12" s="2">
        <f t="shared" si="1"/>
        <v>244</v>
      </c>
      <c r="AI12" s="2">
        <f t="shared" si="2"/>
        <v>88.727272727272734</v>
      </c>
      <c r="AJ12" s="2" t="str">
        <f t="shared" si="3"/>
        <v>A+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79" x14ac:dyDescent="0.35">
      <c r="A13" s="6" t="s">
        <v>104</v>
      </c>
      <c r="B13" s="17" t="s">
        <v>105</v>
      </c>
      <c r="C13" s="17"/>
      <c r="D13" s="17" t="s">
        <v>85</v>
      </c>
      <c r="E13" s="17" t="s">
        <v>69</v>
      </c>
      <c r="F13" s="17" t="s">
        <v>280</v>
      </c>
      <c r="G13" s="17" t="s">
        <v>280</v>
      </c>
      <c r="H13" s="18" t="s">
        <v>280</v>
      </c>
      <c r="I13" s="17" t="s">
        <v>79</v>
      </c>
      <c r="J13" s="17" t="str">
        <f t="shared" si="0"/>
        <v>Outstanding achievement! You are a shining star of our class.</v>
      </c>
      <c r="K13" s="5">
        <v>43</v>
      </c>
      <c r="L13" s="5">
        <v>34</v>
      </c>
      <c r="M13" s="5">
        <v>42</v>
      </c>
      <c r="N13" s="2"/>
      <c r="O13" s="5">
        <v>18</v>
      </c>
      <c r="P13" s="2"/>
      <c r="Q13" s="2"/>
      <c r="R13" s="2"/>
      <c r="S13" s="2"/>
      <c r="T13" s="2"/>
      <c r="U13" s="5">
        <v>9</v>
      </c>
      <c r="V13" s="2"/>
      <c r="W13" s="2"/>
      <c r="X13" s="2"/>
      <c r="Y13" s="2"/>
      <c r="Z13" s="2"/>
      <c r="AA13" s="2"/>
      <c r="AB13" s="2"/>
      <c r="AC13" s="5">
        <v>22</v>
      </c>
      <c r="AD13" s="5">
        <v>20</v>
      </c>
      <c r="AE13" s="5">
        <v>21</v>
      </c>
      <c r="AF13" s="5">
        <v>19</v>
      </c>
      <c r="AG13" s="2"/>
      <c r="AH13" s="2">
        <f t="shared" si="1"/>
        <v>228</v>
      </c>
      <c r="AI13" s="2">
        <f t="shared" si="2"/>
        <v>82.909090909090907</v>
      </c>
      <c r="AJ13" s="2" t="str">
        <f t="shared" si="3"/>
        <v>A+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79" x14ac:dyDescent="0.35">
      <c r="A14" s="6" t="s">
        <v>281</v>
      </c>
      <c r="B14" s="17" t="s">
        <v>106</v>
      </c>
      <c r="C14" s="17" t="s">
        <v>103</v>
      </c>
      <c r="D14" s="17" t="s">
        <v>107</v>
      </c>
      <c r="E14" s="17" t="s">
        <v>69</v>
      </c>
      <c r="F14" s="17" t="s">
        <v>280</v>
      </c>
      <c r="G14" s="17" t="s">
        <v>280</v>
      </c>
      <c r="H14" s="18" t="s">
        <v>280</v>
      </c>
      <c r="I14" s="17" t="s">
        <v>79</v>
      </c>
      <c r="J14" s="17" t="str">
        <f t="shared" si="0"/>
        <v>Outstanding achievement! You are a shining star of our class.</v>
      </c>
      <c r="K14" s="5">
        <v>47</v>
      </c>
      <c r="L14" s="5">
        <v>48</v>
      </c>
      <c r="M14" s="5">
        <v>47</v>
      </c>
      <c r="N14" s="2"/>
      <c r="O14" s="5">
        <v>18</v>
      </c>
      <c r="P14" s="2"/>
      <c r="Q14" s="2"/>
      <c r="R14" s="2"/>
      <c r="S14" s="2"/>
      <c r="T14" s="2"/>
      <c r="U14" s="5">
        <v>8</v>
      </c>
      <c r="V14" s="2"/>
      <c r="W14" s="2"/>
      <c r="X14" s="2"/>
      <c r="Y14" s="2"/>
      <c r="Z14" s="2"/>
      <c r="AA14" s="2"/>
      <c r="AB14" s="2"/>
      <c r="AC14" s="5">
        <v>24</v>
      </c>
      <c r="AD14" s="5">
        <v>24</v>
      </c>
      <c r="AE14" s="5">
        <v>24</v>
      </c>
      <c r="AF14" s="5">
        <v>19.5</v>
      </c>
      <c r="AG14" s="2"/>
      <c r="AH14" s="2">
        <f t="shared" si="1"/>
        <v>259.5</v>
      </c>
      <c r="AI14" s="2">
        <f t="shared" si="2"/>
        <v>94.36363636363636</v>
      </c>
      <c r="AJ14" s="2" t="str">
        <f t="shared" si="3"/>
        <v>A+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79" x14ac:dyDescent="0.35">
      <c r="A15" s="17" t="s">
        <v>108</v>
      </c>
      <c r="B15" s="17" t="s">
        <v>109</v>
      </c>
      <c r="C15" s="17" t="s">
        <v>110</v>
      </c>
      <c r="D15" s="17" t="s">
        <v>107</v>
      </c>
      <c r="E15" s="17" t="s">
        <v>69</v>
      </c>
      <c r="F15" s="17" t="s">
        <v>280</v>
      </c>
      <c r="G15" s="17" t="s">
        <v>280</v>
      </c>
      <c r="H15" s="25">
        <v>45873</v>
      </c>
      <c r="I15" s="17" t="s">
        <v>79</v>
      </c>
      <c r="J15" s="17" t="str">
        <f t="shared" si="0"/>
        <v>Outstanding achievement! You are a shining star of our class.</v>
      </c>
      <c r="K15" s="5">
        <v>48</v>
      </c>
      <c r="L15" s="5">
        <v>47</v>
      </c>
      <c r="M15" s="5">
        <v>49</v>
      </c>
      <c r="N15" s="2"/>
      <c r="O15" s="5">
        <v>18</v>
      </c>
      <c r="P15" s="2"/>
      <c r="Q15" s="2"/>
      <c r="R15" s="2"/>
      <c r="S15" s="2"/>
      <c r="T15" s="2"/>
      <c r="U15" s="5">
        <v>7</v>
      </c>
      <c r="V15" s="2"/>
      <c r="W15" s="2"/>
      <c r="X15" s="2"/>
      <c r="Y15" s="2"/>
      <c r="Z15" s="2"/>
      <c r="AA15" s="2"/>
      <c r="AB15" s="2"/>
      <c r="AC15" s="5">
        <v>25</v>
      </c>
      <c r="AD15" s="5">
        <v>25</v>
      </c>
      <c r="AE15" s="5">
        <v>25</v>
      </c>
      <c r="AF15" s="5">
        <v>19.5</v>
      </c>
      <c r="AG15" s="2"/>
      <c r="AH15" s="2">
        <f t="shared" si="1"/>
        <v>263.5</v>
      </c>
      <c r="AI15" s="2">
        <f t="shared" si="2"/>
        <v>95.818181818181813</v>
      </c>
      <c r="AJ15" s="2" t="str">
        <f t="shared" si="3"/>
        <v>A+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79" x14ac:dyDescent="0.35">
      <c r="A16" s="17" t="s">
        <v>111</v>
      </c>
      <c r="B16" s="17" t="s">
        <v>112</v>
      </c>
      <c r="C16" s="17" t="s">
        <v>113</v>
      </c>
      <c r="D16" s="17" t="s">
        <v>107</v>
      </c>
      <c r="E16" s="17" t="s">
        <v>69</v>
      </c>
      <c r="F16" s="17" t="s">
        <v>280</v>
      </c>
      <c r="G16" s="17" t="s">
        <v>280</v>
      </c>
      <c r="H16" s="18" t="s">
        <v>280</v>
      </c>
      <c r="I16" s="17" t="s">
        <v>79</v>
      </c>
      <c r="J16" s="17" t="str">
        <f t="shared" si="0"/>
        <v>Outstanding achievement! You are a shining star of our class.</v>
      </c>
      <c r="K16" s="5">
        <v>48</v>
      </c>
      <c r="L16" s="5">
        <v>49</v>
      </c>
      <c r="M16" s="5">
        <v>48</v>
      </c>
      <c r="N16" s="2"/>
      <c r="O16" s="5">
        <v>18</v>
      </c>
      <c r="P16" s="2"/>
      <c r="Q16" s="2"/>
      <c r="R16" s="2"/>
      <c r="S16" s="2"/>
      <c r="T16" s="2"/>
      <c r="U16" s="5">
        <v>8</v>
      </c>
      <c r="V16" s="2"/>
      <c r="W16" s="2"/>
      <c r="X16" s="2"/>
      <c r="Y16" s="2"/>
      <c r="Z16" s="2"/>
      <c r="AA16" s="2"/>
      <c r="AB16" s="2"/>
      <c r="AC16" s="5">
        <v>25</v>
      </c>
      <c r="AD16" s="5">
        <v>24</v>
      </c>
      <c r="AE16" s="5">
        <v>24</v>
      </c>
      <c r="AF16" s="5">
        <v>20</v>
      </c>
      <c r="AG16" s="2"/>
      <c r="AH16" s="2">
        <f t="shared" si="1"/>
        <v>264</v>
      </c>
      <c r="AI16" s="2">
        <f t="shared" si="2"/>
        <v>96</v>
      </c>
      <c r="AJ16" s="2" t="str">
        <f t="shared" si="3"/>
        <v>A+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x14ac:dyDescent="0.35">
      <c r="A17" s="6" t="s">
        <v>114</v>
      </c>
      <c r="B17" s="17" t="s">
        <v>115</v>
      </c>
      <c r="C17" s="17" t="s">
        <v>116</v>
      </c>
      <c r="D17" s="17" t="s">
        <v>107</v>
      </c>
      <c r="E17" s="17" t="s">
        <v>69</v>
      </c>
      <c r="F17" s="17" t="s">
        <v>280</v>
      </c>
      <c r="G17" s="17" t="s">
        <v>280</v>
      </c>
      <c r="H17" s="18" t="s">
        <v>280</v>
      </c>
      <c r="I17" s="17" t="s">
        <v>79</v>
      </c>
      <c r="J17" s="17" t="str">
        <f t="shared" si="0"/>
        <v>Outstanding achievement! You are a shining star of our class.</v>
      </c>
      <c r="K17" s="5">
        <v>46</v>
      </c>
      <c r="L17" s="5">
        <v>41</v>
      </c>
      <c r="M17" s="5">
        <v>38</v>
      </c>
      <c r="N17" s="2"/>
      <c r="O17" s="5">
        <v>15</v>
      </c>
      <c r="P17" s="2"/>
      <c r="Q17" s="2"/>
      <c r="R17" s="2"/>
      <c r="S17" s="2"/>
      <c r="T17" s="2"/>
      <c r="U17" s="5">
        <v>8</v>
      </c>
      <c r="V17" s="2"/>
      <c r="W17" s="2"/>
      <c r="X17" s="2"/>
      <c r="Y17" s="2"/>
      <c r="Z17" s="2"/>
      <c r="AA17" s="2"/>
      <c r="AB17" s="2"/>
      <c r="AC17" s="5">
        <v>24</v>
      </c>
      <c r="AD17" s="5">
        <v>23</v>
      </c>
      <c r="AE17" s="5">
        <v>21</v>
      </c>
      <c r="AF17" s="5">
        <v>18.5</v>
      </c>
      <c r="AG17" s="2"/>
      <c r="AH17" s="2">
        <f t="shared" si="1"/>
        <v>234.5</v>
      </c>
      <c r="AI17" s="2">
        <f t="shared" si="2"/>
        <v>85.27272727272728</v>
      </c>
      <c r="AJ17" s="2" t="str">
        <f t="shared" si="3"/>
        <v>A+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35">
      <c r="A18" s="6" t="s">
        <v>117</v>
      </c>
      <c r="B18" s="17" t="s">
        <v>118</v>
      </c>
      <c r="C18" s="17" t="s">
        <v>119</v>
      </c>
      <c r="D18" s="17" t="s">
        <v>107</v>
      </c>
      <c r="E18" s="17" t="s">
        <v>69</v>
      </c>
      <c r="F18" s="17" t="s">
        <v>280</v>
      </c>
      <c r="G18" s="17" t="s">
        <v>280</v>
      </c>
      <c r="H18" s="18" t="s">
        <v>280</v>
      </c>
      <c r="I18" s="17" t="s">
        <v>79</v>
      </c>
      <c r="J18" s="17" t="str">
        <f t="shared" si="0"/>
        <v>We believe in you! Let's work together for a strong comeback.</v>
      </c>
      <c r="K18" s="5" t="s">
        <v>120</v>
      </c>
      <c r="L18" s="5" t="s">
        <v>120</v>
      </c>
      <c r="M18" s="5" t="s">
        <v>120</v>
      </c>
      <c r="N18" s="2"/>
      <c r="O18" s="5" t="s">
        <v>120</v>
      </c>
      <c r="P18" s="2"/>
      <c r="Q18" s="2"/>
      <c r="R18" s="2"/>
      <c r="S18" s="2"/>
      <c r="T18" s="2"/>
      <c r="U18" s="5" t="s">
        <v>120</v>
      </c>
      <c r="V18" s="2"/>
      <c r="W18" s="2"/>
      <c r="X18" s="2"/>
      <c r="Y18" s="2"/>
      <c r="Z18" s="2"/>
      <c r="AA18" s="2"/>
      <c r="AB18" s="2"/>
      <c r="AC18" s="5" t="s">
        <v>120</v>
      </c>
      <c r="AD18" s="5" t="s">
        <v>120</v>
      </c>
      <c r="AE18" s="5" t="s">
        <v>120</v>
      </c>
      <c r="AF18" s="5" t="s">
        <v>120</v>
      </c>
      <c r="AG18" s="2"/>
      <c r="AH18" s="2">
        <f t="shared" si="1"/>
        <v>0</v>
      </c>
      <c r="AI18" s="2">
        <f t="shared" si="2"/>
        <v>0</v>
      </c>
      <c r="AJ18" s="2" t="str">
        <f t="shared" si="3"/>
        <v>A+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35">
      <c r="A19" s="6" t="s">
        <v>121</v>
      </c>
      <c r="B19" s="17" t="s">
        <v>122</v>
      </c>
      <c r="C19" s="17" t="s">
        <v>123</v>
      </c>
      <c r="D19" s="17" t="s">
        <v>107</v>
      </c>
      <c r="E19" s="17" t="s">
        <v>69</v>
      </c>
      <c r="F19" s="17" t="s">
        <v>280</v>
      </c>
      <c r="G19" s="17" t="s">
        <v>280</v>
      </c>
      <c r="H19" s="18" t="s">
        <v>280</v>
      </c>
      <c r="I19" s="17" t="s">
        <v>79</v>
      </c>
      <c r="J19" s="17" t="str">
        <f t="shared" si="0"/>
        <v>We believe in you! Let's work together for a strong comeback.</v>
      </c>
      <c r="K19" s="5" t="s">
        <v>120</v>
      </c>
      <c r="L19" s="5" t="s">
        <v>120</v>
      </c>
      <c r="M19" s="5" t="s">
        <v>120</v>
      </c>
      <c r="N19" s="2"/>
      <c r="O19" s="5" t="s">
        <v>120</v>
      </c>
      <c r="P19" s="2"/>
      <c r="Q19" s="2"/>
      <c r="R19" s="2"/>
      <c r="S19" s="2"/>
      <c r="T19" s="2"/>
      <c r="U19" s="5" t="s">
        <v>120</v>
      </c>
      <c r="V19" s="2"/>
      <c r="W19" s="2"/>
      <c r="X19" s="2"/>
      <c r="Y19" s="2"/>
      <c r="Z19" s="2"/>
      <c r="AA19" s="2"/>
      <c r="AB19" s="2"/>
      <c r="AC19" s="5" t="s">
        <v>120</v>
      </c>
      <c r="AD19" s="5" t="s">
        <v>120</v>
      </c>
      <c r="AE19" s="5" t="s">
        <v>120</v>
      </c>
      <c r="AF19" s="5" t="s">
        <v>120</v>
      </c>
      <c r="AG19" s="2"/>
      <c r="AH19" s="2">
        <f t="shared" si="1"/>
        <v>0</v>
      </c>
      <c r="AI19" s="2">
        <f t="shared" si="2"/>
        <v>0</v>
      </c>
      <c r="AJ19" s="2" t="str">
        <f t="shared" si="3"/>
        <v>A+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x14ac:dyDescent="0.35">
      <c r="A20" s="9" t="s">
        <v>124</v>
      </c>
      <c r="B20" s="17" t="s">
        <v>125</v>
      </c>
      <c r="C20" s="17" t="s">
        <v>119</v>
      </c>
      <c r="D20" s="17">
        <v>1</v>
      </c>
      <c r="E20" s="17" t="s">
        <v>69</v>
      </c>
      <c r="F20" s="17" t="s">
        <v>280</v>
      </c>
      <c r="G20" s="17" t="s">
        <v>280</v>
      </c>
      <c r="H20" s="18" t="s">
        <v>280</v>
      </c>
      <c r="I20" s="17" t="s">
        <v>70</v>
      </c>
      <c r="J20" s="17" t="s">
        <v>126</v>
      </c>
      <c r="K20" s="5"/>
      <c r="L20" s="5"/>
      <c r="M20" s="7"/>
      <c r="N20" s="2"/>
      <c r="O20" s="5"/>
      <c r="P20" s="2"/>
      <c r="Q20" s="2"/>
      <c r="R20" s="5"/>
      <c r="S20" s="5"/>
      <c r="T20" s="2"/>
      <c r="U20" s="5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x14ac:dyDescent="0.35">
      <c r="A21" s="9" t="s">
        <v>127</v>
      </c>
      <c r="B21" s="17" t="s">
        <v>128</v>
      </c>
      <c r="C21" s="17" t="s">
        <v>129</v>
      </c>
      <c r="D21" s="17">
        <v>1</v>
      </c>
      <c r="E21" s="17" t="s">
        <v>69</v>
      </c>
      <c r="F21" s="17" t="s">
        <v>280</v>
      </c>
      <c r="G21" s="17" t="s">
        <v>280</v>
      </c>
      <c r="H21" s="18" t="s">
        <v>280</v>
      </c>
      <c r="I21" s="17" t="s">
        <v>70</v>
      </c>
      <c r="J21" s="17" t="s">
        <v>130</v>
      </c>
      <c r="K21" s="5">
        <v>30</v>
      </c>
      <c r="L21" s="5">
        <v>25</v>
      </c>
      <c r="M21" s="7">
        <v>20</v>
      </c>
      <c r="N21" s="2"/>
      <c r="O21" s="5">
        <v>31</v>
      </c>
      <c r="P21" s="2"/>
      <c r="Q21" s="2"/>
      <c r="R21" s="5">
        <v>25</v>
      </c>
      <c r="S21" s="5">
        <v>40</v>
      </c>
      <c r="T21" s="2"/>
      <c r="U21" s="5">
        <v>35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>
        <v>206</v>
      </c>
      <c r="AI21" s="2">
        <v>51.5</v>
      </c>
      <c r="AJ21" s="2" t="s">
        <v>131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x14ac:dyDescent="0.35">
      <c r="A22" s="6" t="s">
        <v>132</v>
      </c>
      <c r="B22" s="17" t="s">
        <v>133</v>
      </c>
      <c r="C22" s="17" t="s">
        <v>134</v>
      </c>
      <c r="D22" s="17">
        <v>1</v>
      </c>
      <c r="E22" s="17" t="s">
        <v>69</v>
      </c>
      <c r="F22" s="17" t="s">
        <v>280</v>
      </c>
      <c r="G22" s="17" t="s">
        <v>280</v>
      </c>
      <c r="H22" s="18" t="s">
        <v>280</v>
      </c>
      <c r="I22" s="17" t="s">
        <v>79</v>
      </c>
      <c r="J22" s="17" t="s">
        <v>135</v>
      </c>
      <c r="K22" s="5">
        <v>32.5</v>
      </c>
      <c r="L22" s="5">
        <v>30</v>
      </c>
      <c r="M22" s="7">
        <v>29</v>
      </c>
      <c r="N22" s="2"/>
      <c r="O22" s="5">
        <v>56</v>
      </c>
      <c r="P22" s="2"/>
      <c r="Q22" s="2"/>
      <c r="R22" s="5">
        <v>57</v>
      </c>
      <c r="S22" s="5">
        <v>58</v>
      </c>
      <c r="T22" s="2"/>
      <c r="U22" s="5">
        <v>36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>
        <v>298.5</v>
      </c>
      <c r="AI22" s="2">
        <v>74.625</v>
      </c>
      <c r="AJ22" s="2" t="s">
        <v>120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x14ac:dyDescent="0.35">
      <c r="A23" s="9" t="s">
        <v>136</v>
      </c>
      <c r="B23" s="17" t="s">
        <v>137</v>
      </c>
      <c r="C23" s="17" t="s">
        <v>123</v>
      </c>
      <c r="D23" s="17">
        <v>1</v>
      </c>
      <c r="E23" s="17" t="s">
        <v>69</v>
      </c>
      <c r="F23" s="17" t="s">
        <v>280</v>
      </c>
      <c r="G23" s="17" t="s">
        <v>280</v>
      </c>
      <c r="H23" s="18" t="s">
        <v>280</v>
      </c>
      <c r="I23" s="17" t="s">
        <v>79</v>
      </c>
      <c r="J23" s="17" t="s">
        <v>126</v>
      </c>
      <c r="K23" s="5"/>
      <c r="L23" s="28"/>
      <c r="M23" s="28"/>
      <c r="N23" s="2"/>
      <c r="O23" s="5"/>
      <c r="P23" s="2"/>
      <c r="Q23" s="2"/>
      <c r="R23" s="5"/>
      <c r="S23" s="5"/>
      <c r="T23" s="2"/>
      <c r="U23" s="5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>
        <v>0</v>
      </c>
      <c r="AI23" s="2">
        <v>0</v>
      </c>
      <c r="AJ23" s="2" t="s">
        <v>138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x14ac:dyDescent="0.35">
      <c r="A24" s="6" t="s">
        <v>95</v>
      </c>
      <c r="B24" s="17" t="s">
        <v>139</v>
      </c>
      <c r="C24" s="17"/>
      <c r="D24" s="17">
        <v>1</v>
      </c>
      <c r="E24" s="17" t="s">
        <v>69</v>
      </c>
      <c r="F24" s="8" t="s">
        <v>140</v>
      </c>
      <c r="G24" s="9" t="s">
        <v>141</v>
      </c>
      <c r="H24" s="25">
        <v>44596</v>
      </c>
      <c r="I24" s="17" t="s">
        <v>79</v>
      </c>
      <c r="J24" s="17" t="s">
        <v>135</v>
      </c>
      <c r="K24" s="5">
        <v>44</v>
      </c>
      <c r="L24" s="5">
        <v>32</v>
      </c>
      <c r="M24" s="7">
        <v>38</v>
      </c>
      <c r="N24" s="2"/>
      <c r="O24" s="5">
        <v>37</v>
      </c>
      <c r="P24" s="2"/>
      <c r="Q24" s="2"/>
      <c r="R24" s="5">
        <v>58</v>
      </c>
      <c r="S24" s="5">
        <v>50</v>
      </c>
      <c r="T24" s="2"/>
      <c r="U24" s="5">
        <v>37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>
        <v>296</v>
      </c>
      <c r="AI24" s="2">
        <v>74</v>
      </c>
      <c r="AJ24" s="2" t="s">
        <v>120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x14ac:dyDescent="0.35">
      <c r="A25" s="17" t="s">
        <v>142</v>
      </c>
      <c r="B25" s="17" t="s">
        <v>143</v>
      </c>
      <c r="C25" s="17" t="s">
        <v>144</v>
      </c>
      <c r="D25" s="17">
        <v>2</v>
      </c>
      <c r="E25" s="17" t="s">
        <v>69</v>
      </c>
      <c r="F25" s="17" t="s">
        <v>280</v>
      </c>
      <c r="G25" s="17" t="s">
        <v>280</v>
      </c>
      <c r="H25" s="18" t="s">
        <v>280</v>
      </c>
      <c r="I25" s="17" t="s">
        <v>70</v>
      </c>
      <c r="J25" s="17" t="s">
        <v>130</v>
      </c>
      <c r="K25" s="5">
        <v>42</v>
      </c>
      <c r="L25" s="5">
        <v>31</v>
      </c>
      <c r="M25" s="5">
        <v>28</v>
      </c>
      <c r="N25" s="2"/>
      <c r="O25" s="5">
        <v>28</v>
      </c>
      <c r="P25" s="2"/>
      <c r="Q25" s="2"/>
      <c r="R25" s="5">
        <v>25</v>
      </c>
      <c r="S25" s="5">
        <v>60</v>
      </c>
      <c r="T25" s="2"/>
      <c r="U25" s="5">
        <v>30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>
        <v>244</v>
      </c>
      <c r="AI25" s="2">
        <v>54.222222222222229</v>
      </c>
      <c r="AJ25" s="2" t="s">
        <v>131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x14ac:dyDescent="0.35">
      <c r="A26" s="17" t="s">
        <v>145</v>
      </c>
      <c r="B26" s="17" t="s">
        <v>146</v>
      </c>
      <c r="C26" s="17" t="s">
        <v>100</v>
      </c>
      <c r="D26" s="17">
        <v>2</v>
      </c>
      <c r="E26" s="17" t="s">
        <v>69</v>
      </c>
      <c r="F26" s="17" t="s">
        <v>280</v>
      </c>
      <c r="G26" s="17" t="s">
        <v>280</v>
      </c>
      <c r="H26" s="18" t="s">
        <v>280</v>
      </c>
      <c r="I26" s="17" t="s">
        <v>70</v>
      </c>
      <c r="J26" s="17" t="s">
        <v>147</v>
      </c>
      <c r="K26" s="5">
        <v>67</v>
      </c>
      <c r="L26" s="5">
        <v>55</v>
      </c>
      <c r="M26" s="5">
        <v>53</v>
      </c>
      <c r="N26" s="2"/>
      <c r="O26" s="5">
        <v>57</v>
      </c>
      <c r="P26" s="2"/>
      <c r="Q26" s="2"/>
      <c r="R26" s="5">
        <v>68</v>
      </c>
      <c r="S26" s="5">
        <v>68</v>
      </c>
      <c r="T26" s="2"/>
      <c r="U26" s="5">
        <v>35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>
        <v>403</v>
      </c>
      <c r="AI26" s="2">
        <v>89.555555555555557</v>
      </c>
      <c r="AJ26" s="2" t="s">
        <v>148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x14ac:dyDescent="0.35">
      <c r="A27" s="17" t="s">
        <v>149</v>
      </c>
      <c r="B27" s="17" t="s">
        <v>150</v>
      </c>
      <c r="C27" s="17" t="s">
        <v>151</v>
      </c>
      <c r="D27" s="17">
        <v>2</v>
      </c>
      <c r="E27" s="17" t="s">
        <v>69</v>
      </c>
      <c r="F27" s="17" t="s">
        <v>280</v>
      </c>
      <c r="G27" s="17" t="s">
        <v>280</v>
      </c>
      <c r="H27" s="18" t="s">
        <v>280</v>
      </c>
      <c r="I27" s="17" t="s">
        <v>70</v>
      </c>
      <c r="J27" s="17" t="s">
        <v>147</v>
      </c>
      <c r="K27" s="5">
        <v>68</v>
      </c>
      <c r="L27" s="5">
        <v>55</v>
      </c>
      <c r="M27" s="5">
        <v>65</v>
      </c>
      <c r="N27" s="2"/>
      <c r="O27" s="5">
        <v>64</v>
      </c>
      <c r="P27" s="2"/>
      <c r="Q27" s="2"/>
      <c r="R27" s="5">
        <v>65</v>
      </c>
      <c r="S27" s="5">
        <v>67.5</v>
      </c>
      <c r="T27" s="2"/>
      <c r="U27" s="5">
        <v>35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>
        <v>419.5</v>
      </c>
      <c r="AI27" s="2">
        <v>93.222222222222214</v>
      </c>
      <c r="AJ27" s="2" t="s">
        <v>148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x14ac:dyDescent="0.35">
      <c r="A28" s="17" t="s">
        <v>152</v>
      </c>
      <c r="B28" s="17" t="s">
        <v>153</v>
      </c>
      <c r="C28" s="17" t="s">
        <v>154</v>
      </c>
      <c r="D28" s="17">
        <v>2</v>
      </c>
      <c r="E28" s="17" t="s">
        <v>69</v>
      </c>
      <c r="F28" s="17" t="s">
        <v>280</v>
      </c>
      <c r="G28" s="17" t="s">
        <v>280</v>
      </c>
      <c r="H28" s="18" t="s">
        <v>280</v>
      </c>
      <c r="I28" s="17" t="s">
        <v>70</v>
      </c>
      <c r="J28" s="17" t="s">
        <v>130</v>
      </c>
      <c r="K28" s="5">
        <v>22</v>
      </c>
      <c r="L28" s="5">
        <v>24</v>
      </c>
      <c r="M28" s="5">
        <v>48</v>
      </c>
      <c r="N28" s="2"/>
      <c r="O28" s="5">
        <v>33</v>
      </c>
      <c r="P28" s="2"/>
      <c r="Q28" s="2"/>
      <c r="R28" s="5">
        <v>26</v>
      </c>
      <c r="S28" s="5">
        <v>47</v>
      </c>
      <c r="T28" s="2"/>
      <c r="U28" s="5">
        <v>30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>
        <v>230</v>
      </c>
      <c r="AI28" s="2">
        <v>51.111111111111107</v>
      </c>
      <c r="AJ28" s="2" t="s">
        <v>131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x14ac:dyDescent="0.35">
      <c r="A29" s="17" t="s">
        <v>155</v>
      </c>
      <c r="B29" s="17" t="s">
        <v>156</v>
      </c>
      <c r="C29" s="17" t="s">
        <v>75</v>
      </c>
      <c r="D29" s="17">
        <v>2</v>
      </c>
      <c r="E29" s="17" t="s">
        <v>69</v>
      </c>
      <c r="F29" s="17" t="s">
        <v>280</v>
      </c>
      <c r="G29" s="17" t="s">
        <v>280</v>
      </c>
      <c r="H29" s="18" t="s">
        <v>280</v>
      </c>
      <c r="I29" s="17" t="s">
        <v>70</v>
      </c>
      <c r="J29" s="17" t="s">
        <v>157</v>
      </c>
      <c r="K29" s="5">
        <v>45</v>
      </c>
      <c r="L29" s="5">
        <v>36</v>
      </c>
      <c r="M29" s="5">
        <v>37</v>
      </c>
      <c r="N29" s="2"/>
      <c r="O29" s="5">
        <v>45</v>
      </c>
      <c r="P29" s="2"/>
      <c r="Q29" s="2"/>
      <c r="R29" s="5">
        <v>40</v>
      </c>
      <c r="S29" s="5">
        <v>55.5</v>
      </c>
      <c r="T29" s="2"/>
      <c r="U29" s="5">
        <v>30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>
        <v>288.5</v>
      </c>
      <c r="AI29" s="2">
        <v>64.111111111111114</v>
      </c>
      <c r="AJ29" s="2" t="s">
        <v>158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x14ac:dyDescent="0.35">
      <c r="A30" s="17" t="s">
        <v>159</v>
      </c>
      <c r="B30" s="17" t="s">
        <v>160</v>
      </c>
      <c r="C30" s="17" t="s">
        <v>161</v>
      </c>
      <c r="D30" s="17">
        <v>2</v>
      </c>
      <c r="E30" s="17" t="s">
        <v>69</v>
      </c>
      <c r="F30" s="8" t="s">
        <v>162</v>
      </c>
      <c r="G30" s="19" t="s">
        <v>163</v>
      </c>
      <c r="H30" s="20">
        <v>45720</v>
      </c>
      <c r="I30" s="17" t="s">
        <v>70</v>
      </c>
      <c r="J30" s="17" t="s">
        <v>157</v>
      </c>
      <c r="K30" s="5">
        <v>43</v>
      </c>
      <c r="L30" s="5">
        <v>32</v>
      </c>
      <c r="M30" s="5">
        <v>44</v>
      </c>
      <c r="N30" s="2"/>
      <c r="O30" s="5">
        <v>40</v>
      </c>
      <c r="P30" s="2"/>
      <c r="Q30" s="2"/>
      <c r="R30" s="5">
        <v>54</v>
      </c>
      <c r="S30" s="5">
        <v>67</v>
      </c>
      <c r="T30" s="2"/>
      <c r="U30" s="5">
        <v>30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>
        <v>310</v>
      </c>
      <c r="AI30" s="2">
        <v>68.888888888888886</v>
      </c>
      <c r="AJ30" s="2" t="s">
        <v>158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35">
      <c r="A31" s="21" t="s">
        <v>164</v>
      </c>
      <c r="B31" s="17" t="s">
        <v>165</v>
      </c>
      <c r="C31" s="17" t="s">
        <v>90</v>
      </c>
      <c r="D31" s="17">
        <v>2</v>
      </c>
      <c r="E31" s="17" t="s">
        <v>69</v>
      </c>
      <c r="F31" s="19" t="s">
        <v>166</v>
      </c>
      <c r="G31" s="19" t="s">
        <v>167</v>
      </c>
      <c r="H31" s="20">
        <v>44385</v>
      </c>
      <c r="I31" s="17" t="s">
        <v>70</v>
      </c>
      <c r="J31" s="17" t="s">
        <v>147</v>
      </c>
      <c r="K31" s="5">
        <v>67.5</v>
      </c>
      <c r="L31" s="5">
        <v>56</v>
      </c>
      <c r="M31" s="5">
        <v>67</v>
      </c>
      <c r="N31" s="2"/>
      <c r="O31" s="5">
        <v>63</v>
      </c>
      <c r="P31" s="2"/>
      <c r="Q31" s="2"/>
      <c r="R31" s="5">
        <v>69</v>
      </c>
      <c r="S31" s="5">
        <v>69.5</v>
      </c>
      <c r="T31" s="2"/>
      <c r="U31" s="5">
        <v>28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>
        <v>420</v>
      </c>
      <c r="AI31" s="2">
        <v>93.333333333333329</v>
      </c>
      <c r="AJ31" s="2" t="s">
        <v>148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x14ac:dyDescent="0.35">
      <c r="A32" s="17" t="s">
        <v>168</v>
      </c>
      <c r="B32" s="17" t="s">
        <v>169</v>
      </c>
      <c r="C32" s="17" t="s">
        <v>116</v>
      </c>
      <c r="D32" s="17">
        <v>2</v>
      </c>
      <c r="E32" s="17" t="s">
        <v>69</v>
      </c>
      <c r="F32" s="17" t="s">
        <v>280</v>
      </c>
      <c r="G32" s="17" t="s">
        <v>280</v>
      </c>
      <c r="H32" s="18" t="s">
        <v>280</v>
      </c>
      <c r="I32" s="17" t="s">
        <v>70</v>
      </c>
      <c r="J32" s="17" t="s">
        <v>126</v>
      </c>
      <c r="K32" s="5">
        <v>2</v>
      </c>
      <c r="L32" s="5">
        <v>9</v>
      </c>
      <c r="M32" s="5">
        <v>10</v>
      </c>
      <c r="N32" s="2"/>
      <c r="O32" s="5">
        <v>12</v>
      </c>
      <c r="P32" s="2"/>
      <c r="Q32" s="2"/>
      <c r="R32" s="5">
        <v>16</v>
      </c>
      <c r="S32" s="5">
        <v>29.5</v>
      </c>
      <c r="T32" s="2"/>
      <c r="U32" s="5">
        <v>20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>
        <v>98.5</v>
      </c>
      <c r="AI32" s="2">
        <v>21.888888888888889</v>
      </c>
      <c r="AJ32" s="2" t="s">
        <v>138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x14ac:dyDescent="0.35">
      <c r="A33" s="17" t="s">
        <v>170</v>
      </c>
      <c r="B33" s="17" t="s">
        <v>171</v>
      </c>
      <c r="C33" s="17" t="s">
        <v>172</v>
      </c>
      <c r="D33" s="17">
        <v>3</v>
      </c>
      <c r="E33" s="17" t="s">
        <v>69</v>
      </c>
      <c r="F33" s="17" t="s">
        <v>280</v>
      </c>
      <c r="G33" s="17" t="s">
        <v>280</v>
      </c>
      <c r="H33" s="18" t="s">
        <v>280</v>
      </c>
      <c r="I33" s="17" t="s">
        <v>70</v>
      </c>
      <c r="J33" s="17" t="str">
        <f>IF(AI33&gt;=80, "Outstanding achievement! You are a shining star of our class.", IF(AI33&gt;=70, "Impressive work! Your dedication is truly paying off.", IF(AI33&gt;=60, "Well done! You have great potential to achieve even more.", IF(AI33&gt;=50, "Good effort! A little more focus will lead to better results.", IF(AI33&gt;=40, "Don't lose heart! With extra hard work, you can improve.", "We believe in you! Let's work together for a strong comeback.")))))</f>
        <v>We believe in you! Let's work together for a strong comeback.</v>
      </c>
      <c r="K33" s="5">
        <v>6</v>
      </c>
      <c r="L33" s="5">
        <v>28</v>
      </c>
      <c r="M33" s="5">
        <v>27</v>
      </c>
      <c r="N33" s="2"/>
      <c r="O33" s="5">
        <v>0</v>
      </c>
      <c r="P33" s="2"/>
      <c r="Q33" s="2"/>
      <c r="R33" s="5">
        <v>10</v>
      </c>
      <c r="S33" s="5">
        <v>14</v>
      </c>
      <c r="T33" s="2"/>
      <c r="U33" s="5">
        <v>15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f>SUM(K33:U33)</f>
        <v>100</v>
      </c>
      <c r="AI33" s="2">
        <f>(AH33/450)*100</f>
        <v>22.222222222222221</v>
      </c>
      <c r="AJ33" s="2" t="str">
        <f>IF(AI33&gt;=80, "A+", IF(AI33&gt;=70, "A", IF(AI33&gt;=60, "B", IF(AI33&gt;=50, "C", IF(AI33&gt;=40, "D", "FAIL")))))</f>
        <v>FAIL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x14ac:dyDescent="0.35">
      <c r="A34" s="17" t="s">
        <v>173</v>
      </c>
      <c r="B34" s="17" t="s">
        <v>174</v>
      </c>
      <c r="C34" s="17" t="s">
        <v>116</v>
      </c>
      <c r="D34" s="17">
        <v>3</v>
      </c>
      <c r="E34" s="17" t="s">
        <v>69</v>
      </c>
      <c r="F34" s="19" t="s">
        <v>175</v>
      </c>
      <c r="G34" s="19" t="s">
        <v>176</v>
      </c>
      <c r="H34" s="20" t="s">
        <v>177</v>
      </c>
      <c r="I34" s="17" t="s">
        <v>70</v>
      </c>
      <c r="J34" s="17" t="str">
        <f t="shared" ref="J34:J35" si="4">IF(AI34&gt;=80, "Outstanding achievement! You are a shining star of our class.", IF(AI34&gt;=70, "Impressive work! Your dedication is truly paying off.", IF(AI34&gt;=60, "Well done! You have great potential to achieve even more.", IF(AI34&gt;=50, "Good effort! A little more focus will lead to better results.", IF(AI34&gt;=40, "Don't lose heart! With extra hard work, you can improve.", "We believe in you! Let's work together for a strong comeback.")))))</f>
        <v>Well done! You have great potential to achieve even more.</v>
      </c>
      <c r="K34" s="5">
        <v>44</v>
      </c>
      <c r="L34" s="5">
        <v>45</v>
      </c>
      <c r="M34" s="5">
        <v>49</v>
      </c>
      <c r="N34" s="2"/>
      <c r="O34" s="5">
        <v>32</v>
      </c>
      <c r="P34" s="2"/>
      <c r="Q34" s="2"/>
      <c r="R34" s="5">
        <v>45</v>
      </c>
      <c r="S34" s="5">
        <v>38</v>
      </c>
      <c r="T34" s="2"/>
      <c r="U34" s="5">
        <v>25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>
        <f t="shared" ref="AH34:AH35" si="5">SUM(K34:U34)</f>
        <v>278</v>
      </c>
      <c r="AI34" s="2">
        <f t="shared" ref="AI34:AI35" si="6">(AH34/450)*100</f>
        <v>61.777777777777779</v>
      </c>
      <c r="AJ34" s="2" t="str">
        <f t="shared" ref="AJ34:AJ35" si="7">IF(AI34&gt;=80, "A+", IF(AI34&gt;=70, "A", IF(AI34&gt;=60, "B", IF(AI34&gt;=50, "C", IF(AI34&gt;=40, "D", "FAIL")))))</f>
        <v>B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x14ac:dyDescent="0.35">
      <c r="A35" s="17" t="s">
        <v>178</v>
      </c>
      <c r="B35" s="17" t="s">
        <v>179</v>
      </c>
      <c r="C35" s="17" t="s">
        <v>97</v>
      </c>
      <c r="D35" s="17">
        <v>3</v>
      </c>
      <c r="E35" s="17" t="s">
        <v>69</v>
      </c>
      <c r="F35" s="17" t="s">
        <v>280</v>
      </c>
      <c r="G35" s="17" t="s">
        <v>280</v>
      </c>
      <c r="H35" s="18" t="s">
        <v>280</v>
      </c>
      <c r="I35" s="17" t="s">
        <v>70</v>
      </c>
      <c r="J35" s="17" t="str">
        <f t="shared" si="4"/>
        <v>Good effort! A little more focus will lead to better results.</v>
      </c>
      <c r="K35" s="5">
        <v>40</v>
      </c>
      <c r="L35" s="5">
        <v>36</v>
      </c>
      <c r="M35" s="5">
        <v>42</v>
      </c>
      <c r="N35" s="2"/>
      <c r="O35" s="5">
        <v>30</v>
      </c>
      <c r="P35" s="2"/>
      <c r="Q35" s="2"/>
      <c r="R35" s="5">
        <v>30</v>
      </c>
      <c r="S35" s="5">
        <v>35</v>
      </c>
      <c r="T35" s="2"/>
      <c r="U35" s="5">
        <v>20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>
        <f t="shared" si="5"/>
        <v>233</v>
      </c>
      <c r="AI35" s="2">
        <f t="shared" si="6"/>
        <v>51.777777777777779</v>
      </c>
      <c r="AJ35" s="2" t="str">
        <f t="shared" si="7"/>
        <v>C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x14ac:dyDescent="0.35">
      <c r="A36" s="17" t="s">
        <v>180</v>
      </c>
      <c r="B36" s="17" t="s">
        <v>181</v>
      </c>
      <c r="C36" s="17" t="s">
        <v>182</v>
      </c>
      <c r="D36" s="17">
        <v>4</v>
      </c>
      <c r="E36" s="17" t="s">
        <v>69</v>
      </c>
      <c r="F36" s="17" t="s">
        <v>280</v>
      </c>
      <c r="G36" s="17" t="s">
        <v>280</v>
      </c>
      <c r="H36" s="18" t="s">
        <v>280</v>
      </c>
      <c r="I36" s="17" t="s">
        <v>70</v>
      </c>
      <c r="J36" s="17" t="str">
        <f>IF(AL36&gt;=80, "Outstanding achievement! You are a shining star of our class.", IF(AL36&gt;=70, "Impressive work! Your dedication is truly paying off.", IF(AL36&gt;=60, "Well done! You have great potential to achieve even more.", IF(AL36&gt;=50, "Good effort! A little more focus will lead to better results.", IF(AL36&gt;=40, "Don't lose heart! With extra hard work, you can improve.", "We believe in you! Let's work together for a strong comeback.")))))</f>
        <v>Good effort! A little more focus will lead to better results.</v>
      </c>
      <c r="K36" s="5">
        <v>78</v>
      </c>
      <c r="L36" s="5">
        <v>53</v>
      </c>
      <c r="M36" s="5">
        <v>65.5</v>
      </c>
      <c r="N36" s="2"/>
      <c r="O36" s="2"/>
      <c r="P36" s="5">
        <v>50</v>
      </c>
      <c r="Q36" s="2"/>
      <c r="R36" s="5">
        <v>52</v>
      </c>
      <c r="S36" s="5">
        <v>50</v>
      </c>
      <c r="T36" s="5">
        <v>43</v>
      </c>
      <c r="U36" s="5">
        <v>48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>
        <f>SUM(K36:U36)</f>
        <v>439.5</v>
      </c>
      <c r="AL36" s="2">
        <f>(AK36/750)*100</f>
        <v>58.599999999999994</v>
      </c>
      <c r="AM36" s="2" t="str">
        <f>IF(AL36&gt;=80, "A+", IF(AL36&gt;=70, "A", IF(AL36&gt;=60, "B", IF(AL36&gt;=50, "C", IF(AL36&gt;=40, "D", "FAIL")))))</f>
        <v>C</v>
      </c>
      <c r="AN36" s="2"/>
      <c r="AO36" s="2"/>
      <c r="AP36" s="2"/>
      <c r="AQ36" s="2"/>
      <c r="AR36" s="2"/>
      <c r="AS36" s="2"/>
      <c r="AT36" s="2"/>
      <c r="AU36" s="2"/>
    </row>
    <row r="37" spans="1:47" x14ac:dyDescent="0.35">
      <c r="A37" s="17" t="s">
        <v>183</v>
      </c>
      <c r="B37" s="17" t="s">
        <v>184</v>
      </c>
      <c r="C37" s="17" t="s">
        <v>185</v>
      </c>
      <c r="D37" s="17">
        <v>4</v>
      </c>
      <c r="E37" s="17" t="s">
        <v>69</v>
      </c>
      <c r="F37" s="17" t="s">
        <v>280</v>
      </c>
      <c r="G37" s="17" t="s">
        <v>280</v>
      </c>
      <c r="H37" s="18" t="s">
        <v>280</v>
      </c>
      <c r="I37" s="17" t="s">
        <v>70</v>
      </c>
      <c r="J37" s="17" t="str">
        <f t="shared" ref="J37:J40" si="8">IF(AL37&gt;=80, "Outstanding achievement! You are a shining star of our class.", IF(AL37&gt;=70, "Impressive work! Your dedication is truly paying off.", IF(AL37&gt;=60, "Well done! You have great potential to achieve even more.", IF(AL37&gt;=50, "Good effort! A little more focus will lead to better results.", IF(AL37&gt;=40, "Don't lose heart! With extra hard work, you can improve.", "We believe in you! Let's work together for a strong comeback.")))))</f>
        <v>Outstanding achievement! You are a shining star of our class.</v>
      </c>
      <c r="K37" s="5">
        <v>99.5</v>
      </c>
      <c r="L37" s="5">
        <v>89.5</v>
      </c>
      <c r="M37" s="5">
        <v>100</v>
      </c>
      <c r="N37" s="2"/>
      <c r="O37" s="2"/>
      <c r="P37" s="5">
        <v>88</v>
      </c>
      <c r="Q37" s="2"/>
      <c r="R37" s="5">
        <v>100</v>
      </c>
      <c r="S37" s="5">
        <v>74</v>
      </c>
      <c r="T37" s="5">
        <v>83</v>
      </c>
      <c r="U37" s="5">
        <v>45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>
        <f t="shared" ref="AK37:AK40" si="9">SUM(K37:U37)</f>
        <v>679</v>
      </c>
      <c r="AL37" s="2">
        <f t="shared" ref="AL37:AL40" si="10">(AK37/750)*100</f>
        <v>90.533333333333331</v>
      </c>
      <c r="AM37" s="2" t="str">
        <f t="shared" ref="AM37:AM40" si="11">IF(AL37&gt;=80, "A+", IF(AL37&gt;=70, "A", IF(AL37&gt;=60, "B", IF(AL37&gt;=50, "C", IF(AL37&gt;=40, "D", "FAIL")))))</f>
        <v>A+</v>
      </c>
      <c r="AN37" s="2"/>
      <c r="AO37" s="2"/>
      <c r="AP37" s="2"/>
      <c r="AQ37" s="2"/>
      <c r="AR37" s="2"/>
      <c r="AS37" s="2"/>
      <c r="AT37" s="2"/>
      <c r="AU37" s="2"/>
    </row>
    <row r="38" spans="1:47" x14ac:dyDescent="0.35">
      <c r="A38" s="17" t="s">
        <v>186</v>
      </c>
      <c r="B38" s="17" t="s">
        <v>187</v>
      </c>
      <c r="C38" s="17" t="s">
        <v>154</v>
      </c>
      <c r="D38" s="17">
        <v>4</v>
      </c>
      <c r="E38" s="17" t="s">
        <v>69</v>
      </c>
      <c r="F38" s="17" t="s">
        <v>280</v>
      </c>
      <c r="G38" s="17" t="s">
        <v>280</v>
      </c>
      <c r="H38" s="18" t="s">
        <v>280</v>
      </c>
      <c r="I38" s="17" t="s">
        <v>70</v>
      </c>
      <c r="J38" s="17" t="str">
        <f t="shared" si="8"/>
        <v>Good effort! A little more focus will lead to better results.</v>
      </c>
      <c r="K38" s="5">
        <v>40</v>
      </c>
      <c r="L38" s="5">
        <v>67</v>
      </c>
      <c r="M38" s="5">
        <v>73</v>
      </c>
      <c r="N38" s="2"/>
      <c r="O38" s="2"/>
      <c r="P38" s="5">
        <v>41</v>
      </c>
      <c r="Q38" s="2"/>
      <c r="R38" s="5">
        <v>79.5</v>
      </c>
      <c r="S38" s="5">
        <v>49</v>
      </c>
      <c r="T38" s="5">
        <v>49</v>
      </c>
      <c r="U38" s="5">
        <v>35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>
        <f t="shared" si="9"/>
        <v>433.5</v>
      </c>
      <c r="AL38" s="2">
        <f t="shared" si="10"/>
        <v>57.8</v>
      </c>
      <c r="AM38" s="2" t="str">
        <f t="shared" si="11"/>
        <v>C</v>
      </c>
      <c r="AN38" s="2"/>
      <c r="AO38" s="2"/>
      <c r="AP38" s="2"/>
      <c r="AQ38" s="2"/>
      <c r="AR38" s="2"/>
      <c r="AS38" s="2"/>
      <c r="AT38" s="2"/>
      <c r="AU38" s="2"/>
    </row>
    <row r="39" spans="1:47" x14ac:dyDescent="0.35">
      <c r="A39" s="6" t="s">
        <v>188</v>
      </c>
      <c r="B39" s="14" t="s">
        <v>189</v>
      </c>
      <c r="C39" s="14" t="s">
        <v>190</v>
      </c>
      <c r="D39" s="17">
        <v>4</v>
      </c>
      <c r="E39" s="17" t="s">
        <v>69</v>
      </c>
      <c r="F39" s="22" t="s">
        <v>191</v>
      </c>
      <c r="G39" s="22" t="s">
        <v>192</v>
      </c>
      <c r="H39" s="20">
        <v>45386</v>
      </c>
      <c r="I39" s="17" t="s">
        <v>70</v>
      </c>
      <c r="J39" s="17" t="str">
        <f t="shared" si="8"/>
        <v>Well done! You have great potential to achieve even more.</v>
      </c>
      <c r="K39" s="5">
        <v>63</v>
      </c>
      <c r="L39" s="5">
        <v>86</v>
      </c>
      <c r="M39" s="5">
        <v>83.5</v>
      </c>
      <c r="N39" s="2"/>
      <c r="O39" s="2"/>
      <c r="P39" s="5">
        <v>40.5</v>
      </c>
      <c r="Q39" s="2"/>
      <c r="R39" s="5">
        <v>57</v>
      </c>
      <c r="S39" s="5">
        <v>68</v>
      </c>
      <c r="T39" s="5">
        <v>35</v>
      </c>
      <c r="U39" s="5">
        <v>40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>
        <f t="shared" si="9"/>
        <v>473</v>
      </c>
      <c r="AL39" s="2">
        <f t="shared" si="10"/>
        <v>63.06666666666667</v>
      </c>
      <c r="AM39" s="2" t="str">
        <f t="shared" si="11"/>
        <v>B</v>
      </c>
      <c r="AN39" s="2"/>
      <c r="AO39" s="2"/>
      <c r="AP39" s="2"/>
      <c r="AQ39" s="2"/>
      <c r="AR39" s="2"/>
      <c r="AS39" s="2"/>
      <c r="AT39" s="2"/>
      <c r="AU39" s="2"/>
    </row>
    <row r="40" spans="1:47" x14ac:dyDescent="0.35">
      <c r="A40" s="6" t="s">
        <v>193</v>
      </c>
      <c r="B40" s="14" t="s">
        <v>194</v>
      </c>
      <c r="C40" s="14" t="s">
        <v>195</v>
      </c>
      <c r="D40" s="17">
        <v>4</v>
      </c>
      <c r="E40" s="17" t="s">
        <v>69</v>
      </c>
      <c r="F40" s="17" t="s">
        <v>280</v>
      </c>
      <c r="G40" s="17" t="s">
        <v>280</v>
      </c>
      <c r="H40" s="18" t="s">
        <v>280</v>
      </c>
      <c r="I40" s="17" t="s">
        <v>70</v>
      </c>
      <c r="J40" s="17" t="str">
        <f t="shared" si="8"/>
        <v>We believe in you! Let's work together for a strong comeback.</v>
      </c>
      <c r="K40" s="5">
        <v>42.5</v>
      </c>
      <c r="L40" s="5">
        <v>70.5</v>
      </c>
      <c r="M40" s="5">
        <v>46</v>
      </c>
      <c r="N40" s="2"/>
      <c r="O40" s="2"/>
      <c r="P40" s="5">
        <v>22.5</v>
      </c>
      <c r="Q40" s="2"/>
      <c r="R40" s="5">
        <v>16</v>
      </c>
      <c r="S40" s="5">
        <v>17</v>
      </c>
      <c r="T40" s="5">
        <v>10.5</v>
      </c>
      <c r="U40" s="5">
        <v>25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>
        <f t="shared" si="9"/>
        <v>250</v>
      </c>
      <c r="AL40" s="2">
        <f t="shared" si="10"/>
        <v>33.333333333333329</v>
      </c>
      <c r="AM40" s="2" t="str">
        <f t="shared" si="11"/>
        <v>FAIL</v>
      </c>
      <c r="AN40" s="2"/>
      <c r="AO40" s="2"/>
      <c r="AP40" s="2"/>
      <c r="AQ40" s="2"/>
      <c r="AR40" s="2"/>
      <c r="AS40" s="2"/>
      <c r="AT40" s="2"/>
      <c r="AU40" s="2"/>
    </row>
    <row r="41" spans="1:47" ht="20" x14ac:dyDescent="0.35">
      <c r="A41" s="6" t="s">
        <v>196</v>
      </c>
      <c r="B41" s="14" t="s">
        <v>197</v>
      </c>
      <c r="C41" s="14" t="s">
        <v>190</v>
      </c>
      <c r="D41" s="17">
        <v>5</v>
      </c>
      <c r="E41" s="17" t="s">
        <v>69</v>
      </c>
      <c r="F41" s="8" t="s">
        <v>198</v>
      </c>
      <c r="G41" s="22" t="s">
        <v>199</v>
      </c>
      <c r="H41" s="20">
        <v>45386</v>
      </c>
      <c r="I41" s="17" t="s">
        <v>70</v>
      </c>
      <c r="J41" s="17" t="str">
        <f>IF(AL41&gt;=80, "Outstanding achievement! You are a shining star of our class.", IF(AL41&gt;=70, "Impressive work! Your dedication is truly paying off.", IF(AL41&gt;=60, "Well done! You have great potential to achieve even more.", IF(AL41&gt;=50, "Good effort! A little more focus will lead to better results.", IF(AL41&gt;=40, "Don't lose heart! With extra hard work, you can improve.", "We believe in you! Let's work together for a strong comeback.")))))</f>
        <v>Well done! You have great potential to achieve even more.</v>
      </c>
      <c r="K41" s="5">
        <v>67.7</v>
      </c>
      <c r="L41" s="5">
        <v>83.5</v>
      </c>
      <c r="M41" s="5">
        <v>70.5</v>
      </c>
      <c r="N41" s="2"/>
      <c r="O41" s="2"/>
      <c r="P41" s="5">
        <v>29.5</v>
      </c>
      <c r="Q41" s="2"/>
      <c r="R41" s="5">
        <v>67</v>
      </c>
      <c r="S41" s="5">
        <v>89.5</v>
      </c>
      <c r="T41" s="5">
        <v>46</v>
      </c>
      <c r="U41" s="5">
        <v>40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>
        <f>SUM(K41:U41)</f>
        <v>493.7</v>
      </c>
      <c r="AL41" s="2">
        <f>(AK41/750)*100</f>
        <v>65.826666666666668</v>
      </c>
      <c r="AM41" s="2" t="str">
        <f>IF(AL41&gt;=80, "A+", IF(AL41&gt;=70, "A", IF(AL41&gt;=60, "B", IF(AL41&gt;=50, "C", IF(AL41&gt;=40, "D", "FAIL")))))</f>
        <v>B</v>
      </c>
      <c r="AN41" s="2"/>
      <c r="AO41" s="2"/>
      <c r="AP41" s="2"/>
      <c r="AQ41" s="2"/>
      <c r="AR41" s="2"/>
      <c r="AS41" s="2"/>
      <c r="AT41" s="2"/>
      <c r="AU41" s="2"/>
    </row>
    <row r="42" spans="1:47" x14ac:dyDescent="0.35">
      <c r="A42" s="6" t="s">
        <v>200</v>
      </c>
      <c r="B42" s="14" t="s">
        <v>201</v>
      </c>
      <c r="C42" s="14" t="s">
        <v>202</v>
      </c>
      <c r="D42" s="17">
        <v>5</v>
      </c>
      <c r="E42" s="17" t="s">
        <v>69</v>
      </c>
      <c r="F42" s="17" t="s">
        <v>280</v>
      </c>
      <c r="G42" s="17" t="s">
        <v>280</v>
      </c>
      <c r="H42" s="18" t="s">
        <v>280</v>
      </c>
      <c r="I42" s="17" t="s">
        <v>70</v>
      </c>
      <c r="J42" s="17" t="str">
        <f t="shared" ref="J42:J47" si="12">IF(AL42&gt;=80, "Outstanding achievement! You are a shining star of our class.", IF(AL42&gt;=70, "Impressive work! Your dedication is truly paying off.", IF(AL42&gt;=60, "Well done! You have great potential to achieve even more.", IF(AL42&gt;=50, "Good effort! A little more focus will lead to better results.", IF(AL42&gt;=40, "Don't lose heart! With extra hard work, you can improve.", "We believe in you! Let's work together for a strong comeback.")))))</f>
        <v>Good effort! A little more focus will lead to better results.</v>
      </c>
      <c r="K42" s="5">
        <v>68</v>
      </c>
      <c r="L42" s="5">
        <v>65</v>
      </c>
      <c r="M42" s="5">
        <v>34</v>
      </c>
      <c r="N42" s="2"/>
      <c r="O42" s="2"/>
      <c r="P42" s="5">
        <v>33</v>
      </c>
      <c r="Q42" s="2"/>
      <c r="R42" s="5">
        <v>32.5</v>
      </c>
      <c r="S42" s="5">
        <v>80</v>
      </c>
      <c r="T42" s="5">
        <v>35.5</v>
      </c>
      <c r="U42" s="5">
        <v>45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>
        <f t="shared" ref="AK42:AK47" si="13">SUM(K42:U42)</f>
        <v>393</v>
      </c>
      <c r="AL42" s="2">
        <f>(AK42/750)*100</f>
        <v>52.400000000000006</v>
      </c>
      <c r="AM42" s="2" t="str">
        <f t="shared" ref="AM42:AM47" si="14">IF(AL42&gt;=80, "A+", IF(AL42&gt;=70, "A", IF(AL42&gt;=60, "B", IF(AL42&gt;=50, "C", IF(AL42&gt;=40, "D", "FAIL")))))</f>
        <v>C</v>
      </c>
      <c r="AN42" s="2"/>
      <c r="AO42" s="2"/>
      <c r="AP42" s="2"/>
      <c r="AQ42" s="2"/>
      <c r="AR42" s="2"/>
      <c r="AS42" s="2"/>
      <c r="AT42" s="2"/>
      <c r="AU42" s="2"/>
    </row>
    <row r="43" spans="1:47" x14ac:dyDescent="0.35">
      <c r="A43" s="6" t="s">
        <v>203</v>
      </c>
      <c r="B43" s="14" t="s">
        <v>204</v>
      </c>
      <c r="C43" s="14" t="s">
        <v>100</v>
      </c>
      <c r="D43" s="17">
        <v>5</v>
      </c>
      <c r="E43" s="17" t="s">
        <v>69</v>
      </c>
      <c r="F43" s="17" t="s">
        <v>280</v>
      </c>
      <c r="G43" s="17" t="s">
        <v>280</v>
      </c>
      <c r="H43" s="18" t="s">
        <v>280</v>
      </c>
      <c r="I43" s="17" t="s">
        <v>70</v>
      </c>
      <c r="J43" s="17" t="str">
        <f t="shared" si="12"/>
        <v>Well done! You have great potential to achieve even more.</v>
      </c>
      <c r="K43" s="5">
        <v>76.5</v>
      </c>
      <c r="L43" s="5">
        <v>51.5</v>
      </c>
      <c r="M43" s="5">
        <v>42</v>
      </c>
      <c r="N43" s="2"/>
      <c r="O43" s="2"/>
      <c r="P43" s="5">
        <v>52.5</v>
      </c>
      <c r="Q43" s="2"/>
      <c r="R43" s="5">
        <v>68</v>
      </c>
      <c r="S43" s="5">
        <v>88</v>
      </c>
      <c r="T43" s="5">
        <v>65</v>
      </c>
      <c r="U43" s="5">
        <v>40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>
        <f t="shared" si="13"/>
        <v>483.5</v>
      </c>
      <c r="AL43" s="2">
        <f t="shared" ref="AL43:AL47" si="15">(AK43/750)*100</f>
        <v>64.466666666666669</v>
      </c>
      <c r="AM43" s="2" t="str">
        <f t="shared" si="14"/>
        <v>B</v>
      </c>
      <c r="AN43" s="2"/>
      <c r="AO43" s="2"/>
      <c r="AP43" s="2"/>
      <c r="AQ43" s="2"/>
      <c r="AR43" s="2"/>
      <c r="AS43" s="2"/>
      <c r="AT43" s="2"/>
      <c r="AU43" s="2"/>
    </row>
    <row r="44" spans="1:47" x14ac:dyDescent="0.35">
      <c r="A44" s="6" t="s">
        <v>205</v>
      </c>
      <c r="B44" s="14" t="s">
        <v>206</v>
      </c>
      <c r="C44" s="14" t="s">
        <v>207</v>
      </c>
      <c r="D44" s="17">
        <v>5</v>
      </c>
      <c r="E44" s="17" t="s">
        <v>69</v>
      </c>
      <c r="F44" s="17" t="s">
        <v>280</v>
      </c>
      <c r="G44" s="17" t="s">
        <v>280</v>
      </c>
      <c r="H44" s="18" t="s">
        <v>280</v>
      </c>
      <c r="I44" s="17" t="s">
        <v>70</v>
      </c>
      <c r="J44" s="17" t="str">
        <f t="shared" si="12"/>
        <v>Good effort! A little more focus will lead to better results.</v>
      </c>
      <c r="K44" s="5">
        <v>61.5</v>
      </c>
      <c r="L44" s="5">
        <v>68</v>
      </c>
      <c r="M44" s="5">
        <v>40</v>
      </c>
      <c r="N44" s="2"/>
      <c r="O44" s="2"/>
      <c r="P44" s="5">
        <v>34</v>
      </c>
      <c r="Q44" s="2"/>
      <c r="R44" s="5">
        <v>39.5</v>
      </c>
      <c r="S44" s="5">
        <v>59</v>
      </c>
      <c r="T44" s="5">
        <v>41.5</v>
      </c>
      <c r="U44" s="5">
        <v>40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>
        <f t="shared" si="13"/>
        <v>383.5</v>
      </c>
      <c r="AL44" s="2">
        <f t="shared" si="15"/>
        <v>51.133333333333333</v>
      </c>
      <c r="AM44" s="2" t="str">
        <f t="shared" si="14"/>
        <v>C</v>
      </c>
      <c r="AN44" s="2"/>
      <c r="AO44" s="2"/>
      <c r="AP44" s="2"/>
      <c r="AQ44" s="2"/>
      <c r="AR44" s="2"/>
      <c r="AS44" s="2"/>
      <c r="AT44" s="2"/>
      <c r="AU44" s="2"/>
    </row>
    <row r="45" spans="1:47" x14ac:dyDescent="0.35">
      <c r="A45" s="6" t="s">
        <v>208</v>
      </c>
      <c r="B45" s="14" t="s">
        <v>209</v>
      </c>
      <c r="C45" s="14" t="s">
        <v>210</v>
      </c>
      <c r="D45" s="17">
        <v>5</v>
      </c>
      <c r="E45" s="17" t="s">
        <v>69</v>
      </c>
      <c r="F45" s="17" t="s">
        <v>280</v>
      </c>
      <c r="G45" s="17" t="s">
        <v>280</v>
      </c>
      <c r="H45" s="18" t="s">
        <v>280</v>
      </c>
      <c r="I45" s="17" t="s">
        <v>70</v>
      </c>
      <c r="J45" s="17" t="str">
        <f t="shared" si="12"/>
        <v>Well done! You have great potential to achieve even more.</v>
      </c>
      <c r="K45" s="5">
        <v>55</v>
      </c>
      <c r="L45" s="5">
        <v>87</v>
      </c>
      <c r="M45" s="5">
        <v>71.5</v>
      </c>
      <c r="N45" s="2"/>
      <c r="O45" s="2"/>
      <c r="P45" s="5">
        <v>42.5</v>
      </c>
      <c r="Q45" s="2"/>
      <c r="R45" s="5">
        <v>63.5</v>
      </c>
      <c r="S45" s="5">
        <v>65</v>
      </c>
      <c r="T45" s="5">
        <v>37</v>
      </c>
      <c r="U45" s="5">
        <v>30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>
        <f t="shared" si="13"/>
        <v>451.5</v>
      </c>
      <c r="AL45" s="2">
        <f t="shared" si="15"/>
        <v>60.199999999999996</v>
      </c>
      <c r="AM45" s="2" t="str">
        <f t="shared" si="14"/>
        <v>B</v>
      </c>
      <c r="AN45" s="2"/>
      <c r="AO45" s="2"/>
      <c r="AP45" s="2"/>
      <c r="AQ45" s="2"/>
      <c r="AR45" s="2"/>
      <c r="AS45" s="2"/>
      <c r="AT45" s="2"/>
      <c r="AU45" s="2"/>
    </row>
    <row r="46" spans="1:47" x14ac:dyDescent="0.35">
      <c r="A46" s="6" t="s">
        <v>211</v>
      </c>
      <c r="B46" s="14" t="s">
        <v>212</v>
      </c>
      <c r="C46" s="14" t="s">
        <v>213</v>
      </c>
      <c r="D46" s="17">
        <v>5</v>
      </c>
      <c r="E46" s="17" t="s">
        <v>69</v>
      </c>
      <c r="F46" s="17" t="s">
        <v>280</v>
      </c>
      <c r="G46" s="10" t="s">
        <v>214</v>
      </c>
      <c r="H46" s="20" t="s">
        <v>215</v>
      </c>
      <c r="I46" s="17" t="s">
        <v>70</v>
      </c>
      <c r="J46" s="17" t="str">
        <f t="shared" si="12"/>
        <v>Don't lose heart! With extra hard work, you can improve.</v>
      </c>
      <c r="K46" s="5">
        <v>43.5</v>
      </c>
      <c r="L46" s="5">
        <v>58</v>
      </c>
      <c r="M46" s="5">
        <v>54</v>
      </c>
      <c r="N46" s="2"/>
      <c r="O46" s="2"/>
      <c r="P46" s="5">
        <v>30</v>
      </c>
      <c r="Q46" s="2"/>
      <c r="R46" s="5" t="s">
        <v>120</v>
      </c>
      <c r="S46" s="5">
        <v>43.5</v>
      </c>
      <c r="T46" s="5">
        <v>36</v>
      </c>
      <c r="U46" s="5">
        <v>40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>
        <f t="shared" si="13"/>
        <v>305</v>
      </c>
      <c r="AL46" s="2">
        <f t="shared" si="15"/>
        <v>40.666666666666664</v>
      </c>
      <c r="AM46" s="2" t="str">
        <f t="shared" si="14"/>
        <v>D</v>
      </c>
      <c r="AN46" s="2"/>
      <c r="AO46" s="2"/>
      <c r="AP46" s="2"/>
      <c r="AQ46" s="2"/>
      <c r="AR46" s="2"/>
      <c r="AS46" s="2"/>
      <c r="AT46" s="2"/>
      <c r="AU46" s="2"/>
    </row>
    <row r="47" spans="1:47" x14ac:dyDescent="0.35">
      <c r="A47" s="6" t="s">
        <v>216</v>
      </c>
      <c r="B47" s="14" t="s">
        <v>217</v>
      </c>
      <c r="C47" s="14" t="s">
        <v>218</v>
      </c>
      <c r="D47" s="17">
        <v>5</v>
      </c>
      <c r="E47" s="17" t="s">
        <v>69</v>
      </c>
      <c r="F47" s="17" t="s">
        <v>280</v>
      </c>
      <c r="G47" s="17" t="s">
        <v>280</v>
      </c>
      <c r="H47" s="18" t="s">
        <v>280</v>
      </c>
      <c r="I47" s="17" t="s">
        <v>70</v>
      </c>
      <c r="J47" s="17" t="str">
        <f t="shared" si="12"/>
        <v>Well done! You have great potential to achieve even more.</v>
      </c>
      <c r="K47" s="5">
        <v>85.5</v>
      </c>
      <c r="L47" s="5">
        <v>61.5</v>
      </c>
      <c r="M47" s="5">
        <v>84.5</v>
      </c>
      <c r="N47" s="2"/>
      <c r="O47" s="2"/>
      <c r="P47" s="5">
        <v>55</v>
      </c>
      <c r="Q47" s="2"/>
      <c r="R47" s="5">
        <v>59.5</v>
      </c>
      <c r="S47" s="5">
        <v>81</v>
      </c>
      <c r="T47" s="5">
        <v>42.5</v>
      </c>
      <c r="U47" s="5">
        <v>35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>
        <f t="shared" si="13"/>
        <v>504.5</v>
      </c>
      <c r="AL47" s="2">
        <f t="shared" si="15"/>
        <v>67.266666666666666</v>
      </c>
      <c r="AM47" s="2" t="str">
        <f t="shared" si="14"/>
        <v>B</v>
      </c>
      <c r="AN47" s="2"/>
      <c r="AO47" s="2"/>
      <c r="AP47" s="2"/>
      <c r="AQ47" s="2"/>
      <c r="AR47" s="2"/>
      <c r="AS47" s="2"/>
      <c r="AT47" s="2"/>
      <c r="AU47" s="2"/>
    </row>
    <row r="48" spans="1:47" x14ac:dyDescent="0.35">
      <c r="A48" s="6" t="s">
        <v>219</v>
      </c>
      <c r="B48" s="14" t="s">
        <v>74</v>
      </c>
      <c r="C48" s="14" t="s">
        <v>195</v>
      </c>
      <c r="D48" s="17">
        <v>6</v>
      </c>
      <c r="E48" s="17" t="s">
        <v>69</v>
      </c>
      <c r="F48" s="17" t="s">
        <v>280</v>
      </c>
      <c r="G48" s="17" t="s">
        <v>280</v>
      </c>
      <c r="H48" s="18" t="s">
        <v>280</v>
      </c>
      <c r="I48" s="17" t="s">
        <v>70</v>
      </c>
      <c r="J48" s="17" t="str">
        <f>IF(AM48&gt;=80, "Outstanding achievement! You are a shining star of our class.", IF(AM48&gt;=70, "Impressive work! Your dedication is truly paying off.", IF(AM48&gt;=60, "Well done! You have great potential to achieve even more.", IF(AM48&gt;=50, "Good effort! A little more focus will lead to better results.", IF(AM48&gt;=40, "Don't lose heart! With extra hard work, you can improve.", "We believe in you! Let's work together for a strong comeback.")))))</f>
        <v>Don't lose heart! With extra hard work, you can improve.</v>
      </c>
      <c r="K48" s="5">
        <v>33.5</v>
      </c>
      <c r="L48" s="5">
        <v>3</v>
      </c>
      <c r="M48" s="5">
        <v>32</v>
      </c>
      <c r="N48" s="5">
        <v>42</v>
      </c>
      <c r="O48" s="2"/>
      <c r="P48" s="5">
        <v>48</v>
      </c>
      <c r="Q48" s="2"/>
      <c r="R48" s="5">
        <v>39</v>
      </c>
      <c r="S48" s="5">
        <v>30</v>
      </c>
      <c r="T48" s="2"/>
      <c r="U48" s="5">
        <v>40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>
        <f>SUM(K48:U48)</f>
        <v>267.5</v>
      </c>
      <c r="AM48" s="2">
        <f>(AL48/575)*100</f>
        <v>46.521739130434781</v>
      </c>
      <c r="AN48" s="2" t="str">
        <f>IF(AM48&gt;=80, "A+", IF(AM48&gt;=70, "A", IF(AM48&gt;=60, "B", IF(AM48&gt;=50, "C", IF(AM48&gt;=40, "D", "FAIL")))))</f>
        <v>D</v>
      </c>
      <c r="AO48" s="2"/>
      <c r="AP48" s="2"/>
      <c r="AQ48" s="2"/>
      <c r="AR48" s="2"/>
      <c r="AS48" s="2"/>
      <c r="AT48" s="2"/>
      <c r="AU48" s="2"/>
    </row>
    <row r="49" spans="1:47" x14ac:dyDescent="0.35">
      <c r="A49" s="6" t="s">
        <v>220</v>
      </c>
      <c r="B49" s="14" t="s">
        <v>221</v>
      </c>
      <c r="C49" s="14" t="s">
        <v>222</v>
      </c>
      <c r="D49" s="17">
        <v>6</v>
      </c>
      <c r="E49" s="17" t="s">
        <v>69</v>
      </c>
      <c r="F49" s="17" t="s">
        <v>280</v>
      </c>
      <c r="G49" s="17" t="s">
        <v>280</v>
      </c>
      <c r="H49" s="18" t="s">
        <v>280</v>
      </c>
      <c r="I49" s="17" t="s">
        <v>70</v>
      </c>
      <c r="J49" s="17" t="str">
        <f t="shared" ref="J49:J53" si="16">IF(AM49&gt;=80, "Outstanding achievement! You are a shining star of our class.", IF(AM49&gt;=70, "Impressive work! Your dedication is truly paying off.", IF(AM49&gt;=60, "Well done! You have great potential to achieve even more.", IF(AM49&gt;=50, "Good effort! A little more focus will lead to better results.", IF(AM49&gt;=40, "Don't lose heart! With extra hard work, you can improve.", "We believe in you! Let's work together for a strong comeback.")))))</f>
        <v>Well done! You have great potential to achieve even more.</v>
      </c>
      <c r="K49" s="5">
        <v>66</v>
      </c>
      <c r="L49" s="5">
        <v>33</v>
      </c>
      <c r="M49" s="5">
        <v>39</v>
      </c>
      <c r="N49" s="5">
        <v>61</v>
      </c>
      <c r="O49" s="2"/>
      <c r="P49" s="5">
        <v>63</v>
      </c>
      <c r="Q49" s="2"/>
      <c r="R49" s="5">
        <v>39</v>
      </c>
      <c r="S49" s="5">
        <v>58</v>
      </c>
      <c r="T49" s="2"/>
      <c r="U49" s="5">
        <v>41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>
        <f t="shared" ref="AL49:AL53" si="17">SUM(K49:U49)</f>
        <v>400</v>
      </c>
      <c r="AM49" s="2">
        <f t="shared" ref="AM49:AM53" si="18">(AL49/575)*100</f>
        <v>69.565217391304344</v>
      </c>
      <c r="AN49" s="2" t="str">
        <f t="shared" ref="AN49:AN53" si="19">IF(AM49&gt;=80, "A+", IF(AM49&gt;=70, "A", IF(AM49&gt;=60, "B", IF(AM49&gt;=50, "C", IF(AM49&gt;=40, "D", "FAIL")))))</f>
        <v>B</v>
      </c>
      <c r="AO49" s="2"/>
      <c r="AP49" s="2"/>
      <c r="AQ49" s="2"/>
      <c r="AR49" s="2"/>
      <c r="AS49" s="2"/>
      <c r="AT49" s="2"/>
      <c r="AU49" s="2"/>
    </row>
    <row r="50" spans="1:47" x14ac:dyDescent="0.35">
      <c r="A50" s="6" t="s">
        <v>223</v>
      </c>
      <c r="B50" s="14" t="s">
        <v>224</v>
      </c>
      <c r="C50" s="14" t="s">
        <v>182</v>
      </c>
      <c r="D50" s="17">
        <v>6</v>
      </c>
      <c r="E50" s="17" t="s">
        <v>69</v>
      </c>
      <c r="F50" s="17" t="s">
        <v>280</v>
      </c>
      <c r="G50" s="17" t="s">
        <v>280</v>
      </c>
      <c r="H50" s="18" t="s">
        <v>280</v>
      </c>
      <c r="I50" s="17" t="s">
        <v>70</v>
      </c>
      <c r="J50" s="17" t="str">
        <f t="shared" si="16"/>
        <v>Outstanding achievement! You are a shining star of our class.</v>
      </c>
      <c r="K50" s="5">
        <v>62.5</v>
      </c>
      <c r="L50" s="5">
        <v>40</v>
      </c>
      <c r="M50" s="5">
        <v>70</v>
      </c>
      <c r="N50" s="5">
        <v>59.5</v>
      </c>
      <c r="O50" s="2"/>
      <c r="P50" s="5">
        <v>68</v>
      </c>
      <c r="Q50" s="2"/>
      <c r="R50" s="5">
        <v>40</v>
      </c>
      <c r="S50" s="5">
        <v>74</v>
      </c>
      <c r="T50" s="2"/>
      <c r="U50" s="5">
        <v>49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>
        <f t="shared" si="17"/>
        <v>463</v>
      </c>
      <c r="AM50" s="2">
        <f t="shared" si="18"/>
        <v>80.521739130434781</v>
      </c>
      <c r="AN50" s="2" t="str">
        <f t="shared" si="19"/>
        <v>A+</v>
      </c>
      <c r="AO50" s="2"/>
      <c r="AP50" s="2"/>
      <c r="AQ50" s="2"/>
      <c r="AR50" s="2"/>
      <c r="AS50" s="2"/>
      <c r="AT50" s="2"/>
      <c r="AU50" s="2"/>
    </row>
    <row r="51" spans="1:47" x14ac:dyDescent="0.35">
      <c r="A51" s="6" t="s">
        <v>225</v>
      </c>
      <c r="B51" s="14" t="s">
        <v>226</v>
      </c>
      <c r="C51" s="14" t="s">
        <v>227</v>
      </c>
      <c r="D51" s="17">
        <v>6</v>
      </c>
      <c r="E51" s="17" t="s">
        <v>69</v>
      </c>
      <c r="F51" s="17" t="s">
        <v>280</v>
      </c>
      <c r="G51" s="17" t="s">
        <v>280</v>
      </c>
      <c r="H51" s="18" t="s">
        <v>280</v>
      </c>
      <c r="I51" s="17" t="s">
        <v>79</v>
      </c>
      <c r="J51" s="17" t="str">
        <f t="shared" si="16"/>
        <v>Don't lose heart! With extra hard work, you can improve.</v>
      </c>
      <c r="K51" s="5">
        <v>33</v>
      </c>
      <c r="L51" s="5">
        <v>25</v>
      </c>
      <c r="M51" s="5">
        <v>35</v>
      </c>
      <c r="N51" s="5">
        <v>45</v>
      </c>
      <c r="O51" s="2"/>
      <c r="P51" s="5">
        <v>37</v>
      </c>
      <c r="Q51" s="2"/>
      <c r="R51" s="5">
        <v>11</v>
      </c>
      <c r="S51" s="5">
        <v>39</v>
      </c>
      <c r="T51" s="2"/>
      <c r="U51" s="5">
        <v>35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>
        <f t="shared" si="17"/>
        <v>260</v>
      </c>
      <c r="AM51" s="2">
        <f t="shared" si="18"/>
        <v>45.217391304347828</v>
      </c>
      <c r="AN51" s="2" t="str">
        <f t="shared" si="19"/>
        <v>D</v>
      </c>
      <c r="AO51" s="2"/>
      <c r="AP51" s="2"/>
      <c r="AQ51" s="2"/>
      <c r="AR51" s="2"/>
      <c r="AS51" s="2"/>
      <c r="AT51" s="2"/>
      <c r="AU51" s="2"/>
    </row>
    <row r="52" spans="1:47" x14ac:dyDescent="0.35">
      <c r="A52" s="11" t="s">
        <v>228</v>
      </c>
      <c r="B52" s="15" t="s">
        <v>229</v>
      </c>
      <c r="C52" s="15" t="s">
        <v>230</v>
      </c>
      <c r="D52" s="17">
        <v>6</v>
      </c>
      <c r="E52" s="17" t="s">
        <v>69</v>
      </c>
      <c r="F52" s="17" t="s">
        <v>280</v>
      </c>
      <c r="G52" s="17" t="s">
        <v>280</v>
      </c>
      <c r="H52" s="18" t="s">
        <v>280</v>
      </c>
      <c r="I52" s="17" t="s">
        <v>79</v>
      </c>
      <c r="J52" s="17" t="str">
        <f t="shared" si="16"/>
        <v>Good effort! A little more focus will lead to better results.</v>
      </c>
      <c r="K52" s="5">
        <v>39</v>
      </c>
      <c r="L52" s="5">
        <v>25</v>
      </c>
      <c r="M52" s="5">
        <v>38</v>
      </c>
      <c r="N52" s="5">
        <v>46</v>
      </c>
      <c r="O52" s="2"/>
      <c r="P52" s="5">
        <v>46</v>
      </c>
      <c r="Q52" s="2"/>
      <c r="R52" s="5">
        <v>32</v>
      </c>
      <c r="S52" s="5">
        <v>40</v>
      </c>
      <c r="T52" s="2"/>
      <c r="U52" s="5">
        <v>48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>
        <f t="shared" si="17"/>
        <v>314</v>
      </c>
      <c r="AM52" s="2">
        <f t="shared" si="18"/>
        <v>54.608695652173914</v>
      </c>
      <c r="AN52" s="2" t="str">
        <f t="shared" si="19"/>
        <v>C</v>
      </c>
      <c r="AO52" s="2"/>
      <c r="AP52" s="2"/>
      <c r="AQ52" s="2"/>
      <c r="AR52" s="2"/>
      <c r="AS52" s="2"/>
      <c r="AT52" s="2"/>
      <c r="AU52" s="2"/>
    </row>
    <row r="53" spans="1:47" x14ac:dyDescent="0.35">
      <c r="A53" s="6" t="s">
        <v>231</v>
      </c>
      <c r="B53" s="14" t="s">
        <v>232</v>
      </c>
      <c r="C53" s="14" t="s">
        <v>161</v>
      </c>
      <c r="D53" s="17">
        <v>6</v>
      </c>
      <c r="E53" s="17" t="s">
        <v>69</v>
      </c>
      <c r="F53" s="12" t="s">
        <v>233</v>
      </c>
      <c r="G53" s="9" t="s">
        <v>234</v>
      </c>
      <c r="H53" s="26">
        <v>45750</v>
      </c>
      <c r="I53" s="17" t="s">
        <v>79</v>
      </c>
      <c r="J53" s="17" t="str">
        <f t="shared" si="16"/>
        <v>Outstanding achievement! You are a shining star of our class.</v>
      </c>
      <c r="K53" s="5">
        <v>88</v>
      </c>
      <c r="L53" s="5">
        <v>54</v>
      </c>
      <c r="M53" s="5">
        <v>60</v>
      </c>
      <c r="N53" s="5">
        <v>42.5</v>
      </c>
      <c r="O53" s="2"/>
      <c r="P53" s="5">
        <v>62.5</v>
      </c>
      <c r="Q53" s="2"/>
      <c r="R53" s="5">
        <v>45</v>
      </c>
      <c r="S53" s="5">
        <v>68.5</v>
      </c>
      <c r="T53" s="2"/>
      <c r="U53" s="5">
        <v>49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>
        <f t="shared" si="17"/>
        <v>469.5</v>
      </c>
      <c r="AM53" s="2">
        <f t="shared" si="18"/>
        <v>81.652173913043484</v>
      </c>
      <c r="AN53" s="2" t="str">
        <f t="shared" si="19"/>
        <v>A+</v>
      </c>
      <c r="AO53" s="2"/>
      <c r="AP53" s="2"/>
      <c r="AQ53" s="2"/>
      <c r="AR53" s="2"/>
      <c r="AS53" s="2"/>
      <c r="AT53" s="2"/>
      <c r="AU53" s="2"/>
    </row>
    <row r="54" spans="1:47" x14ac:dyDescent="0.35">
      <c r="A54" s="6" t="s">
        <v>235</v>
      </c>
      <c r="B54" s="14" t="s">
        <v>236</v>
      </c>
      <c r="C54" s="14" t="s">
        <v>182</v>
      </c>
      <c r="D54" s="17">
        <v>7</v>
      </c>
      <c r="E54" s="17" t="s">
        <v>69</v>
      </c>
      <c r="F54" s="17" t="s">
        <v>280</v>
      </c>
      <c r="G54" s="17" t="s">
        <v>280</v>
      </c>
      <c r="H54" s="18" t="s">
        <v>280</v>
      </c>
      <c r="I54" s="17" t="s">
        <v>70</v>
      </c>
      <c r="J54" s="17" t="str">
        <f>IF(AM54&gt;=80, "Outstanding achievement! You are a shining star of our class.", IF(AM54&gt;=70, "Impressive work! Your dedication is truly paying off.", IF(AM54&gt;=60, "Well done! You have great potential to achieve even more.", IF(AM54&gt;=50, "Good effort! A little more focus will lead to better results.", IF(AM54&gt;=40, "Don't lose heart! With extra hard work, you can improve.", "We believe in you! Let's work together for a strong comeback.")))))</f>
        <v>Impressive work! Your dedication is truly paying off.</v>
      </c>
      <c r="K54" s="5">
        <v>54</v>
      </c>
      <c r="L54" s="5">
        <v>49</v>
      </c>
      <c r="M54" s="5">
        <v>60</v>
      </c>
      <c r="N54" s="5">
        <v>45</v>
      </c>
      <c r="O54" s="2"/>
      <c r="P54" s="5">
        <v>53</v>
      </c>
      <c r="Q54" s="2"/>
      <c r="R54" s="5">
        <v>40</v>
      </c>
      <c r="S54" s="5">
        <v>70</v>
      </c>
      <c r="T54" s="2"/>
      <c r="U54" s="5">
        <v>45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>
        <f>SUM(K54:U54)</f>
        <v>416</v>
      </c>
      <c r="AM54" s="2">
        <f>(AL54/575)*100</f>
        <v>72.34782608695653</v>
      </c>
      <c r="AN54" s="2" t="str">
        <f>IF(AM54&gt;=80, "A+", IF(AM54&gt;=70, "A", IF(AM54&gt;=60, "B", IF(AM54&gt;=50, "C", IF(AM54&gt;=40, "D", "FAIL")))))</f>
        <v>A</v>
      </c>
      <c r="AO54" s="2"/>
      <c r="AP54" s="2"/>
      <c r="AQ54" s="2"/>
      <c r="AR54" s="2"/>
      <c r="AS54" s="2"/>
      <c r="AT54" s="2"/>
      <c r="AU54" s="2"/>
    </row>
    <row r="55" spans="1:47" x14ac:dyDescent="0.35">
      <c r="A55" s="6" t="s">
        <v>237</v>
      </c>
      <c r="B55" s="14" t="s">
        <v>238</v>
      </c>
      <c r="C55" s="14" t="s">
        <v>239</v>
      </c>
      <c r="D55" s="17">
        <v>7</v>
      </c>
      <c r="E55" s="17" t="s">
        <v>69</v>
      </c>
      <c r="F55" s="17" t="s">
        <v>280</v>
      </c>
      <c r="G55" s="17" t="s">
        <v>280</v>
      </c>
      <c r="H55" s="18" t="s">
        <v>280</v>
      </c>
      <c r="I55" s="17" t="s">
        <v>70</v>
      </c>
      <c r="J55" s="17" t="str">
        <f t="shared" ref="J55:J59" si="20">IF(AM55&gt;=80, "Outstanding achievement! You are a shining star of our class.", IF(AM55&gt;=70, "Impressive work! Your dedication is truly paying off.", IF(AM55&gt;=60, "Well done! You have great potential to achieve even more.", IF(AM55&gt;=50, "Good effort! A little more focus will lead to better results.", IF(AM55&gt;=40, "Don't lose heart! With extra hard work, you can improve.", "We believe in you! Let's work together for a strong comeback.")))))</f>
        <v>Outstanding achievement! You are a shining star of our class.</v>
      </c>
      <c r="K55" s="5">
        <v>64</v>
      </c>
      <c r="L55" s="5">
        <v>65</v>
      </c>
      <c r="M55" s="5">
        <v>71</v>
      </c>
      <c r="N55" s="5">
        <v>71</v>
      </c>
      <c r="O55" s="2"/>
      <c r="P55" s="5">
        <v>48</v>
      </c>
      <c r="Q55" s="2"/>
      <c r="R55" s="5">
        <v>63</v>
      </c>
      <c r="S55" s="5">
        <v>74</v>
      </c>
      <c r="T55" s="2"/>
      <c r="U55" s="5">
        <v>44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>
        <f t="shared" ref="AL55:AL59" si="21">SUM(K55:U55)</f>
        <v>500</v>
      </c>
      <c r="AM55" s="2">
        <f t="shared" ref="AM55:AM59" si="22">(AL55/575)*100</f>
        <v>86.956521739130437</v>
      </c>
      <c r="AN55" s="2" t="str">
        <f t="shared" ref="AN55:AN59" si="23">IF(AM55&gt;=80, "A+", IF(AM55&gt;=70, "A", IF(AM55&gt;=60, "B", IF(AM55&gt;=50, "C", IF(AM55&gt;=40, "D", "FAIL")))))</f>
        <v>A+</v>
      </c>
      <c r="AO55" s="2"/>
      <c r="AP55" s="2"/>
      <c r="AQ55" s="2"/>
      <c r="AR55" s="2"/>
      <c r="AS55" s="2"/>
      <c r="AT55" s="2"/>
      <c r="AU55" s="2"/>
    </row>
    <row r="56" spans="1:47" x14ac:dyDescent="0.35">
      <c r="A56" s="6" t="s">
        <v>240</v>
      </c>
      <c r="B56" s="14" t="s">
        <v>241</v>
      </c>
      <c r="C56" s="14" t="s">
        <v>213</v>
      </c>
      <c r="D56" s="17">
        <v>7</v>
      </c>
      <c r="E56" s="17" t="s">
        <v>69</v>
      </c>
      <c r="F56" s="17" t="s">
        <v>280</v>
      </c>
      <c r="G56" s="10" t="s">
        <v>242</v>
      </c>
      <c r="H56" s="18" t="s">
        <v>215</v>
      </c>
      <c r="I56" s="17" t="s">
        <v>79</v>
      </c>
      <c r="J56" s="17" t="str">
        <f t="shared" si="20"/>
        <v>Outstanding achievement! You are a shining star of our class.</v>
      </c>
      <c r="K56" s="5">
        <v>70.5</v>
      </c>
      <c r="L56" s="5">
        <v>37</v>
      </c>
      <c r="M56" s="5">
        <v>45</v>
      </c>
      <c r="N56" s="5">
        <v>70</v>
      </c>
      <c r="O56" s="2"/>
      <c r="P56" s="5">
        <v>60</v>
      </c>
      <c r="Q56" s="2"/>
      <c r="R56" s="5">
        <v>50</v>
      </c>
      <c r="S56" s="5">
        <v>83</v>
      </c>
      <c r="T56" s="2"/>
      <c r="U56" s="5">
        <v>49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>
        <f t="shared" si="21"/>
        <v>464.5</v>
      </c>
      <c r="AM56" s="2">
        <f t="shared" si="22"/>
        <v>80.782608695652172</v>
      </c>
      <c r="AN56" s="2" t="str">
        <f t="shared" si="23"/>
        <v>A+</v>
      </c>
      <c r="AO56" s="2"/>
      <c r="AP56" s="2"/>
      <c r="AQ56" s="2"/>
      <c r="AR56" s="2"/>
      <c r="AS56" s="2"/>
      <c r="AT56" s="2"/>
      <c r="AU56" s="2"/>
    </row>
    <row r="57" spans="1:47" x14ac:dyDescent="0.35">
      <c r="A57" s="6" t="s">
        <v>243</v>
      </c>
      <c r="B57" s="14" t="s">
        <v>244</v>
      </c>
      <c r="C57" s="14" t="s">
        <v>245</v>
      </c>
      <c r="D57" s="17">
        <v>7</v>
      </c>
      <c r="E57" s="17" t="s">
        <v>69</v>
      </c>
      <c r="F57" s="17" t="s">
        <v>280</v>
      </c>
      <c r="G57" s="17" t="s">
        <v>280</v>
      </c>
      <c r="H57" s="18" t="s">
        <v>280</v>
      </c>
      <c r="I57" s="17" t="s">
        <v>79</v>
      </c>
      <c r="J57" s="17" t="str">
        <f t="shared" si="20"/>
        <v>Good effort! A little more focus will lead to better results.</v>
      </c>
      <c r="K57" s="5">
        <v>37</v>
      </c>
      <c r="L57" s="5">
        <v>29</v>
      </c>
      <c r="M57" s="5">
        <v>31</v>
      </c>
      <c r="N57" s="5">
        <v>35</v>
      </c>
      <c r="O57" s="2"/>
      <c r="P57" s="5">
        <v>34</v>
      </c>
      <c r="Q57" s="2"/>
      <c r="R57" s="5">
        <v>30</v>
      </c>
      <c r="S57" s="5">
        <v>61</v>
      </c>
      <c r="T57" s="2"/>
      <c r="U57" s="5">
        <v>40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>
        <f t="shared" si="21"/>
        <v>297</v>
      </c>
      <c r="AM57" s="2">
        <f t="shared" si="22"/>
        <v>51.652173913043477</v>
      </c>
      <c r="AN57" s="2" t="str">
        <f t="shared" si="23"/>
        <v>C</v>
      </c>
      <c r="AO57" s="2"/>
      <c r="AP57" s="2"/>
      <c r="AQ57" s="2"/>
      <c r="AR57" s="2"/>
      <c r="AS57" s="2"/>
      <c r="AT57" s="2"/>
      <c r="AU57" s="2"/>
    </row>
    <row r="58" spans="1:47" x14ac:dyDescent="0.35">
      <c r="A58" s="6" t="s">
        <v>246</v>
      </c>
      <c r="B58" s="14" t="s">
        <v>137</v>
      </c>
      <c r="C58" s="14" t="s">
        <v>185</v>
      </c>
      <c r="D58" s="17">
        <v>7</v>
      </c>
      <c r="E58" s="17" t="s">
        <v>69</v>
      </c>
      <c r="F58" s="17" t="s">
        <v>280</v>
      </c>
      <c r="G58" s="17" t="s">
        <v>280</v>
      </c>
      <c r="H58" s="18" t="s">
        <v>280</v>
      </c>
      <c r="I58" s="17" t="s">
        <v>79</v>
      </c>
      <c r="J58" s="17" t="str">
        <f t="shared" si="20"/>
        <v>Outstanding achievement! You are a shining star of our class.</v>
      </c>
      <c r="K58" s="5">
        <v>70</v>
      </c>
      <c r="L58" s="5">
        <v>55</v>
      </c>
      <c r="M58" s="5">
        <v>73</v>
      </c>
      <c r="N58" s="5">
        <v>70</v>
      </c>
      <c r="O58" s="2"/>
      <c r="P58" s="5">
        <v>70</v>
      </c>
      <c r="Q58" s="2"/>
      <c r="R58" s="5">
        <v>68</v>
      </c>
      <c r="S58" s="5">
        <v>71</v>
      </c>
      <c r="T58" s="2"/>
      <c r="U58" s="5">
        <v>50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>
        <f t="shared" si="21"/>
        <v>527</v>
      </c>
      <c r="AM58" s="2">
        <f t="shared" si="22"/>
        <v>91.652173913043484</v>
      </c>
      <c r="AN58" s="2" t="str">
        <f t="shared" si="23"/>
        <v>A+</v>
      </c>
      <c r="AO58" s="2"/>
      <c r="AP58" s="2"/>
      <c r="AQ58" s="2"/>
      <c r="AR58" s="2"/>
      <c r="AS58" s="2"/>
      <c r="AT58" s="2"/>
      <c r="AU58" s="2"/>
    </row>
    <row r="59" spans="1:47" x14ac:dyDescent="0.35">
      <c r="A59" s="6" t="s">
        <v>247</v>
      </c>
      <c r="B59" s="14" t="s">
        <v>248</v>
      </c>
      <c r="C59" s="14" t="s">
        <v>249</v>
      </c>
      <c r="D59" s="17">
        <v>7</v>
      </c>
      <c r="E59" s="17" t="s">
        <v>69</v>
      </c>
      <c r="F59" s="17" t="s">
        <v>250</v>
      </c>
      <c r="G59" s="17" t="s">
        <v>251</v>
      </c>
      <c r="H59" s="18">
        <v>45327</v>
      </c>
      <c r="I59" s="17" t="s">
        <v>79</v>
      </c>
      <c r="J59" s="17" t="str">
        <f t="shared" si="20"/>
        <v>Impressive work! Your dedication is truly paying off.</v>
      </c>
      <c r="K59" s="5">
        <v>56</v>
      </c>
      <c r="L59" s="5">
        <v>40</v>
      </c>
      <c r="M59" s="5">
        <v>68</v>
      </c>
      <c r="N59" s="5">
        <v>68</v>
      </c>
      <c r="O59" s="2"/>
      <c r="P59" s="5">
        <v>53</v>
      </c>
      <c r="Q59" s="2"/>
      <c r="R59" s="5">
        <v>51</v>
      </c>
      <c r="S59" s="5">
        <v>73</v>
      </c>
      <c r="T59" s="2"/>
      <c r="U59" s="5">
        <v>45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>
        <f t="shared" si="21"/>
        <v>454</v>
      </c>
      <c r="AM59" s="2">
        <f t="shared" si="22"/>
        <v>78.956521739130437</v>
      </c>
      <c r="AN59" s="2" t="str">
        <f t="shared" si="23"/>
        <v>A</v>
      </c>
      <c r="AO59" s="2"/>
      <c r="AP59" s="2"/>
      <c r="AQ59" s="2"/>
      <c r="AR59" s="2"/>
      <c r="AS59" s="2"/>
      <c r="AT59" s="2"/>
      <c r="AU59" s="2"/>
    </row>
    <row r="60" spans="1:47" x14ac:dyDescent="0.35">
      <c r="A60" s="6" t="s">
        <v>252</v>
      </c>
      <c r="B60" s="14" t="s">
        <v>253</v>
      </c>
      <c r="C60" s="14" t="s">
        <v>182</v>
      </c>
      <c r="D60" s="17">
        <v>8</v>
      </c>
      <c r="E60" s="17" t="s">
        <v>69</v>
      </c>
      <c r="F60" s="17" t="s">
        <v>280</v>
      </c>
      <c r="G60" s="17" t="s">
        <v>280</v>
      </c>
      <c r="H60" s="18" t="s">
        <v>280</v>
      </c>
      <c r="I60" s="17" t="s">
        <v>70</v>
      </c>
      <c r="J60" s="17" t="str">
        <f>IF(AN60&gt;=80, "Outstanding achievement! You are a shining star of our class.", IF(AN60&gt;=70, "Impressive work! Your dedication is truly paying off.", IF(AN60&gt;=60, "Well done! You have great potential to achieve even more.", IF(AN60&gt;=50, "Good effort! A little more focus will lead to better results.", IF(AN60&gt;=40, "Don't lose heart! With extra hard work, you can improve.", "We believe in you! Let's work together for a strong comeback.")))))</f>
        <v>Well done! You have great potential to achieve even more.</v>
      </c>
      <c r="K60" s="5">
        <v>48.5</v>
      </c>
      <c r="L60" s="5">
        <v>74</v>
      </c>
      <c r="M60" s="5">
        <v>40</v>
      </c>
      <c r="N60" s="2"/>
      <c r="O60" s="2"/>
      <c r="P60" s="2"/>
      <c r="Q60" s="2"/>
      <c r="R60" s="5">
        <v>33.5</v>
      </c>
      <c r="S60" s="5">
        <v>42</v>
      </c>
      <c r="T60" s="2"/>
      <c r="U60" s="2"/>
      <c r="V60" s="2"/>
      <c r="W60" s="5">
        <v>32</v>
      </c>
      <c r="X60" s="5">
        <v>24</v>
      </c>
      <c r="Y60" s="2"/>
      <c r="Z60" s="2"/>
      <c r="AA60" s="2"/>
      <c r="AB60" s="5">
        <v>25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>
        <f>SUM(K60:AB60)</f>
        <v>319</v>
      </c>
      <c r="AN60" s="2">
        <f>(AM60/510)*100</f>
        <v>62.549019607843135</v>
      </c>
      <c r="AO60" s="2" t="str">
        <f>IF(AN60&gt;=80, "A+", IF(AN60&gt;=70, "A", IF(AN60&gt;=60, "B", IF(AN60&gt;=50, "C", IF(AN60&gt;=40, "D", "FAIL")))))</f>
        <v>B</v>
      </c>
      <c r="AP60" s="2"/>
      <c r="AQ60" s="2"/>
      <c r="AR60" s="2"/>
      <c r="AS60" s="2"/>
      <c r="AT60" s="2"/>
      <c r="AU60" s="2"/>
    </row>
    <row r="61" spans="1:47" x14ac:dyDescent="0.35">
      <c r="A61" s="6" t="s">
        <v>254</v>
      </c>
      <c r="B61" s="14" t="s">
        <v>255</v>
      </c>
      <c r="C61" s="14" t="s">
        <v>256</v>
      </c>
      <c r="D61" s="17">
        <v>8</v>
      </c>
      <c r="E61" s="17" t="s">
        <v>69</v>
      </c>
      <c r="F61" s="17" t="s">
        <v>280</v>
      </c>
      <c r="G61" s="17" t="s">
        <v>280</v>
      </c>
      <c r="H61" s="18" t="s">
        <v>280</v>
      </c>
      <c r="I61" s="17" t="s">
        <v>70</v>
      </c>
      <c r="J61" s="17" t="str">
        <f t="shared" ref="J61:J66" si="24">IF(AN61&gt;=80, "Outstanding achievement! You are a shining star of our class.", IF(AN61&gt;=70, "Impressive work! Your dedication is truly paying off.", IF(AN61&gt;=60, "Well done! You have great potential to achieve even more.", IF(AN61&gt;=50, "Good effort! A little more focus will lead to better results.", IF(AN61&gt;=40, "Don't lose heart! With extra hard work, you can improve.", "We believe in you! Let's work together for a strong comeback.")))))</f>
        <v>We believe in you! Let's work together for a strong comeback.</v>
      </c>
      <c r="K61" s="5">
        <v>27</v>
      </c>
      <c r="L61" s="5">
        <v>5</v>
      </c>
      <c r="M61" s="5">
        <v>35</v>
      </c>
      <c r="N61" s="2"/>
      <c r="O61" s="2"/>
      <c r="P61" s="2"/>
      <c r="Q61" s="2"/>
      <c r="R61" s="5">
        <v>37</v>
      </c>
      <c r="S61" s="5">
        <v>20</v>
      </c>
      <c r="T61" s="2"/>
      <c r="U61" s="2"/>
      <c r="V61" s="2"/>
      <c r="W61" s="5">
        <v>31</v>
      </c>
      <c r="X61" s="5">
        <v>17</v>
      </c>
      <c r="Y61" s="2"/>
      <c r="Z61" s="2"/>
      <c r="AA61" s="2"/>
      <c r="AB61" s="5">
        <v>27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>
        <f t="shared" ref="AM61:AM66" si="25">SUM(K61:AB61)</f>
        <v>199</v>
      </c>
      <c r="AN61" s="2">
        <f t="shared" ref="AN61:AN66" si="26">(AM61/510)*100</f>
        <v>39.019607843137258</v>
      </c>
      <c r="AO61" s="2" t="str">
        <f t="shared" ref="AO61:AO66" si="27">IF(AN61&gt;=80, "A+", IF(AN61&gt;=70, "A", IF(AN61&gt;=60, "B", IF(AN61&gt;=50, "C", IF(AN61&gt;=40, "D", "FAIL")))))</f>
        <v>FAIL</v>
      </c>
      <c r="AP61" s="2"/>
      <c r="AQ61" s="2"/>
      <c r="AR61" s="2"/>
      <c r="AS61" s="2"/>
      <c r="AT61" s="2"/>
      <c r="AU61" s="2"/>
    </row>
    <row r="62" spans="1:47" x14ac:dyDescent="0.35">
      <c r="A62" s="6" t="s">
        <v>257</v>
      </c>
      <c r="B62" s="14" t="s">
        <v>258</v>
      </c>
      <c r="C62" s="14" t="s">
        <v>259</v>
      </c>
      <c r="D62" s="17">
        <v>8</v>
      </c>
      <c r="E62" s="17" t="s">
        <v>69</v>
      </c>
      <c r="F62" s="17" t="s">
        <v>280</v>
      </c>
      <c r="G62" s="17" t="s">
        <v>280</v>
      </c>
      <c r="H62" s="18" t="s">
        <v>280</v>
      </c>
      <c r="I62" s="17" t="s">
        <v>79</v>
      </c>
      <c r="J62" s="17" t="str">
        <f t="shared" si="24"/>
        <v>Good effort! A little more focus will lead to better results.</v>
      </c>
      <c r="K62" s="5">
        <v>51.5</v>
      </c>
      <c r="L62" s="5">
        <v>46</v>
      </c>
      <c r="M62" s="5">
        <v>36.5</v>
      </c>
      <c r="N62" s="2"/>
      <c r="O62" s="2"/>
      <c r="P62" s="2"/>
      <c r="Q62" s="2"/>
      <c r="R62" s="5">
        <v>34</v>
      </c>
      <c r="S62" s="5">
        <v>38</v>
      </c>
      <c r="T62" s="2"/>
      <c r="U62" s="2"/>
      <c r="V62" s="2"/>
      <c r="W62" s="5">
        <v>22</v>
      </c>
      <c r="X62" s="5">
        <v>27</v>
      </c>
      <c r="Y62" s="2"/>
      <c r="Z62" s="2"/>
      <c r="AA62" s="2"/>
      <c r="AB62" s="5">
        <v>30.5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>
        <f t="shared" si="25"/>
        <v>285.5</v>
      </c>
      <c r="AN62" s="2">
        <f t="shared" si="26"/>
        <v>55.980392156862749</v>
      </c>
      <c r="AO62" s="2" t="str">
        <f t="shared" si="27"/>
        <v>C</v>
      </c>
      <c r="AP62" s="2"/>
      <c r="AQ62" s="2"/>
      <c r="AR62" s="2"/>
      <c r="AS62" s="2"/>
      <c r="AT62" s="2"/>
      <c r="AU62" s="2"/>
    </row>
    <row r="63" spans="1:47" x14ac:dyDescent="0.35">
      <c r="A63" s="6" t="s">
        <v>260</v>
      </c>
      <c r="B63" s="14" t="s">
        <v>261</v>
      </c>
      <c r="C63" s="14" t="s">
        <v>262</v>
      </c>
      <c r="D63" s="17">
        <v>8</v>
      </c>
      <c r="E63" s="17" t="s">
        <v>69</v>
      </c>
      <c r="F63" s="17" t="s">
        <v>280</v>
      </c>
      <c r="G63" s="17" t="s">
        <v>280</v>
      </c>
      <c r="H63" s="18" t="s">
        <v>280</v>
      </c>
      <c r="I63" s="17" t="s">
        <v>79</v>
      </c>
      <c r="J63" s="17" t="str">
        <f t="shared" si="24"/>
        <v>Good effort! A little more focus will lead to better results.</v>
      </c>
      <c r="K63" s="5">
        <v>59.5</v>
      </c>
      <c r="L63" s="5">
        <v>48</v>
      </c>
      <c r="M63" s="5">
        <v>30</v>
      </c>
      <c r="N63" s="2"/>
      <c r="O63" s="2"/>
      <c r="P63" s="2"/>
      <c r="Q63" s="2"/>
      <c r="R63" s="5">
        <v>35</v>
      </c>
      <c r="S63" s="5">
        <v>41</v>
      </c>
      <c r="T63" s="2"/>
      <c r="U63" s="2"/>
      <c r="V63" s="2"/>
      <c r="W63" s="5">
        <v>29</v>
      </c>
      <c r="X63" s="5">
        <v>26</v>
      </c>
      <c r="Y63" s="2"/>
      <c r="Z63" s="2"/>
      <c r="AA63" s="2"/>
      <c r="AB63" s="5">
        <v>30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>
        <f t="shared" si="25"/>
        <v>298.5</v>
      </c>
      <c r="AN63" s="2">
        <f t="shared" si="26"/>
        <v>58.529411764705884</v>
      </c>
      <c r="AO63" s="2" t="str">
        <f t="shared" si="27"/>
        <v>C</v>
      </c>
      <c r="AP63" s="2"/>
      <c r="AQ63" s="2"/>
      <c r="AR63" s="2"/>
      <c r="AS63" s="2"/>
      <c r="AT63" s="2"/>
      <c r="AU63" s="2"/>
    </row>
    <row r="64" spans="1:47" x14ac:dyDescent="0.35">
      <c r="A64" s="6" t="s">
        <v>263</v>
      </c>
      <c r="B64" s="14" t="s">
        <v>264</v>
      </c>
      <c r="C64" s="14" t="s">
        <v>161</v>
      </c>
      <c r="D64" s="17">
        <v>8</v>
      </c>
      <c r="E64" s="17" t="s">
        <v>69</v>
      </c>
      <c r="F64" s="13" t="s">
        <v>265</v>
      </c>
      <c r="G64" s="9" t="s">
        <v>266</v>
      </c>
      <c r="H64" s="26">
        <v>45750</v>
      </c>
      <c r="I64" s="17" t="s">
        <v>79</v>
      </c>
      <c r="J64" s="17" t="str">
        <f t="shared" si="24"/>
        <v>Good effort! A little more focus will lead to better results.</v>
      </c>
      <c r="K64" s="5">
        <v>60</v>
      </c>
      <c r="L64" s="5">
        <v>49</v>
      </c>
      <c r="M64" s="5">
        <v>40</v>
      </c>
      <c r="N64" s="2"/>
      <c r="O64" s="2"/>
      <c r="P64" s="2"/>
      <c r="Q64" s="2"/>
      <c r="R64" s="5">
        <v>34</v>
      </c>
      <c r="S64" s="5">
        <v>30</v>
      </c>
      <c r="T64" s="2"/>
      <c r="U64" s="2"/>
      <c r="V64" s="2"/>
      <c r="W64" s="5">
        <v>28</v>
      </c>
      <c r="X64" s="5">
        <v>25</v>
      </c>
      <c r="Y64" s="2"/>
      <c r="Z64" s="2"/>
      <c r="AA64" s="2"/>
      <c r="AB64" s="5">
        <v>27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>
        <f t="shared" si="25"/>
        <v>293</v>
      </c>
      <c r="AN64" s="2">
        <f t="shared" si="26"/>
        <v>57.450980392156858</v>
      </c>
      <c r="AO64" s="2" t="str">
        <f t="shared" si="27"/>
        <v>C</v>
      </c>
      <c r="AP64" s="2"/>
      <c r="AQ64" s="2"/>
      <c r="AR64" s="2"/>
      <c r="AS64" s="2"/>
      <c r="AT64" s="2"/>
      <c r="AU64" s="2"/>
    </row>
    <row r="65" spans="1:47" x14ac:dyDescent="0.35">
      <c r="A65" s="6" t="s">
        <v>267</v>
      </c>
      <c r="B65" s="14" t="s">
        <v>268</v>
      </c>
      <c r="C65" s="14" t="s">
        <v>213</v>
      </c>
      <c r="D65" s="17">
        <v>8</v>
      </c>
      <c r="E65" s="17" t="s">
        <v>69</v>
      </c>
      <c r="F65" s="9" t="s">
        <v>269</v>
      </c>
      <c r="G65" s="9" t="s">
        <v>270</v>
      </c>
      <c r="H65" s="18" t="s">
        <v>271</v>
      </c>
      <c r="I65" s="17" t="s">
        <v>79</v>
      </c>
      <c r="J65" s="17" t="str">
        <f t="shared" si="24"/>
        <v>Impressive work! Your dedication is truly paying off.</v>
      </c>
      <c r="K65" s="5">
        <v>70</v>
      </c>
      <c r="L65" s="5">
        <v>44</v>
      </c>
      <c r="M65" s="5">
        <v>49.5</v>
      </c>
      <c r="N65" s="2"/>
      <c r="O65" s="2"/>
      <c r="P65" s="2"/>
      <c r="Q65" s="2"/>
      <c r="R65" s="5">
        <v>42</v>
      </c>
      <c r="S65" s="5">
        <v>65.5</v>
      </c>
      <c r="T65" s="2"/>
      <c r="U65" s="2"/>
      <c r="V65" s="2"/>
      <c r="W65" s="5">
        <v>46.5</v>
      </c>
      <c r="X65" s="5">
        <v>47</v>
      </c>
      <c r="Y65" s="2"/>
      <c r="Z65" s="2"/>
      <c r="AA65" s="2"/>
      <c r="AB65" s="5">
        <v>36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>
        <f t="shared" si="25"/>
        <v>400.5</v>
      </c>
      <c r="AN65" s="2">
        <f t="shared" si="26"/>
        <v>78.529411764705884</v>
      </c>
      <c r="AO65" s="2" t="str">
        <f t="shared" si="27"/>
        <v>A</v>
      </c>
      <c r="AP65" s="2"/>
      <c r="AQ65" s="2"/>
      <c r="AR65" s="2"/>
      <c r="AS65" s="2"/>
      <c r="AT65" s="2"/>
      <c r="AU65" s="2"/>
    </row>
    <row r="66" spans="1:47" x14ac:dyDescent="0.35">
      <c r="A66" s="6" t="s">
        <v>272</v>
      </c>
      <c r="B66" s="14" t="s">
        <v>273</v>
      </c>
      <c r="C66" s="14" t="s">
        <v>274</v>
      </c>
      <c r="D66" s="17">
        <v>8</v>
      </c>
      <c r="E66" s="17" t="s">
        <v>69</v>
      </c>
      <c r="F66" s="17" t="s">
        <v>280</v>
      </c>
      <c r="G66" s="17" t="s">
        <v>280</v>
      </c>
      <c r="H66" s="18" t="s">
        <v>280</v>
      </c>
      <c r="I66" s="17" t="s">
        <v>79</v>
      </c>
      <c r="J66" s="17" t="str">
        <f t="shared" si="24"/>
        <v>Good effort! A little more focus will lead to better results.</v>
      </c>
      <c r="K66" s="5">
        <v>56</v>
      </c>
      <c r="L66" s="5">
        <v>22</v>
      </c>
      <c r="M66" s="5">
        <v>48.5</v>
      </c>
      <c r="N66" s="2"/>
      <c r="O66" s="2"/>
      <c r="P66" s="2"/>
      <c r="Q66" s="2"/>
      <c r="R66" s="5">
        <v>30</v>
      </c>
      <c r="S66" s="5">
        <v>28</v>
      </c>
      <c r="T66" s="2"/>
      <c r="U66" s="2"/>
      <c r="V66" s="2"/>
      <c r="W66" s="5">
        <v>33</v>
      </c>
      <c r="X66" s="5">
        <v>29</v>
      </c>
      <c r="Y66" s="2"/>
      <c r="Z66" s="2"/>
      <c r="AA66" s="2"/>
      <c r="AB66" s="5">
        <v>27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>
        <f t="shared" si="25"/>
        <v>273.5</v>
      </c>
      <c r="AN66" s="2">
        <f t="shared" si="26"/>
        <v>53.627450980392155</v>
      </c>
      <c r="AO66" s="2" t="str">
        <f t="shared" si="27"/>
        <v>C</v>
      </c>
      <c r="AP66" s="2"/>
      <c r="AQ66" s="2"/>
      <c r="AR66" s="2"/>
      <c r="AS66" s="2"/>
      <c r="AT66" s="2"/>
      <c r="AU66" s="2"/>
    </row>
    <row r="67" spans="1:47" x14ac:dyDescent="0.35">
      <c r="A67" s="6" t="s">
        <v>275</v>
      </c>
      <c r="B67" s="14" t="s">
        <v>276</v>
      </c>
      <c r="C67" s="14" t="s">
        <v>277</v>
      </c>
      <c r="D67" s="17" t="s">
        <v>283</v>
      </c>
      <c r="E67" s="17" t="s">
        <v>69</v>
      </c>
      <c r="F67" s="17" t="s">
        <v>280</v>
      </c>
      <c r="G67" s="17" t="s">
        <v>280</v>
      </c>
      <c r="H67" s="18" t="s">
        <v>280</v>
      </c>
      <c r="I67" s="17" t="s">
        <v>79</v>
      </c>
      <c r="J67" s="17" t="str">
        <f>IF(AL67&gt;=80, "Outstanding achievement! You are a shining star of our class.", IF(AL67&gt;=70, "Impressive work! Your dedication is truly paying off.", IF(AL67&gt;=60, "Well done! You have great potential to achieve even more.", IF(AL67&gt;=50, "Good effort! A little more focus will lead to better results.", IF(AL67&gt;=40, "Don't lose heart! With extra hard work, you can improve.", "We believe in you! Let's work together for a strong comeback.")))))</f>
        <v>We believe in you! Let's work together for a strong comeback.</v>
      </c>
      <c r="K67" s="5">
        <v>15</v>
      </c>
      <c r="L67" s="5">
        <v>2</v>
      </c>
      <c r="M67" s="5"/>
      <c r="N67" s="2"/>
      <c r="O67" s="2"/>
      <c r="P67" s="5">
        <v>0</v>
      </c>
      <c r="Q67" s="5"/>
      <c r="R67" s="5">
        <v>28</v>
      </c>
      <c r="S67" s="2"/>
      <c r="T67" s="2"/>
      <c r="U67" s="2"/>
      <c r="V67" s="2"/>
      <c r="W67" s="2"/>
      <c r="X67" s="2"/>
      <c r="Y67" s="5"/>
      <c r="Z67" s="2"/>
      <c r="AA67" s="2"/>
      <c r="AB67" s="5">
        <v>8</v>
      </c>
      <c r="AC67" s="2"/>
      <c r="AD67" s="2"/>
      <c r="AE67" s="2"/>
      <c r="AF67" s="2"/>
      <c r="AG67" s="2"/>
      <c r="AH67" s="2"/>
      <c r="AI67" s="2"/>
      <c r="AJ67" s="2"/>
      <c r="AK67" s="2">
        <f>SUM(K67:AB67)</f>
        <v>53</v>
      </c>
      <c r="AL67" s="2">
        <f>(AK67/515)*100</f>
        <v>10.291262135922331</v>
      </c>
      <c r="AM67" s="2" t="str">
        <f>IF(AL67&gt;=80, "A+", IF(AL67&gt;=70, "A", IF(AL67&gt;=60, "B", IF(AL67&gt;=50, "C", IF(AL67&gt;=40, "D", "FAIL")))))</f>
        <v>FAIL</v>
      </c>
      <c r="AN67" s="2"/>
      <c r="AO67" s="2"/>
      <c r="AP67" s="2"/>
      <c r="AQ67" s="2"/>
      <c r="AR67" s="2"/>
      <c r="AS67" s="2"/>
      <c r="AT67" s="2"/>
      <c r="AU67" s="2"/>
    </row>
    <row r="68" spans="1:47" x14ac:dyDescent="0.35">
      <c r="A68" s="6" t="s">
        <v>278</v>
      </c>
      <c r="B68" s="14" t="s">
        <v>279</v>
      </c>
      <c r="C68" s="14" t="s">
        <v>210</v>
      </c>
      <c r="D68" s="17" t="s">
        <v>283</v>
      </c>
      <c r="E68" s="17" t="s">
        <v>69</v>
      </c>
      <c r="F68" s="17" t="s">
        <v>280</v>
      </c>
      <c r="G68" s="17" t="s">
        <v>280</v>
      </c>
      <c r="H68" s="18" t="s">
        <v>280</v>
      </c>
      <c r="I68" s="17" t="s">
        <v>79</v>
      </c>
      <c r="J68" s="17" t="str">
        <f t="shared" ref="J68" si="28">IF(AL68&gt;=80, "Outstanding achievement! You are a shining star of our class.", IF(AL68&gt;=70, "Impressive work! Your dedication is truly paying off.", IF(AL68&gt;=60, "Well done! You have great potential to achieve even more.", IF(AL68&gt;=50, "Good effort! A little more focus will lead to better results.", IF(AL68&gt;=40, "Don't lose heart! With extra hard work, you can improve.", "We believe in you! Let's work together for a strong comeback.")))))</f>
        <v>Impressive work! Your dedication is truly paying off.</v>
      </c>
      <c r="K68" s="5">
        <v>59.5</v>
      </c>
      <c r="L68" s="5">
        <v>67.5</v>
      </c>
      <c r="M68" s="5">
        <v>54.5</v>
      </c>
      <c r="N68" s="2"/>
      <c r="O68" s="2"/>
      <c r="P68" s="5">
        <v>58</v>
      </c>
      <c r="Q68" s="5">
        <v>42</v>
      </c>
      <c r="R68" s="5">
        <v>41.5</v>
      </c>
      <c r="S68" s="2"/>
      <c r="T68" s="2"/>
      <c r="U68" s="2"/>
      <c r="V68" s="2"/>
      <c r="W68" s="2"/>
      <c r="X68" s="2"/>
      <c r="Y68" s="5">
        <v>48</v>
      </c>
      <c r="Z68" s="2"/>
      <c r="AA68" s="2"/>
      <c r="AB68" s="5">
        <v>37</v>
      </c>
      <c r="AC68" s="2"/>
      <c r="AD68" s="2"/>
      <c r="AE68" s="2"/>
      <c r="AF68" s="2"/>
      <c r="AG68" s="2"/>
      <c r="AH68" s="2"/>
      <c r="AI68" s="2"/>
      <c r="AJ68" s="2"/>
      <c r="AK68" s="2">
        <f>SUM(K68:AB68)</f>
        <v>408</v>
      </c>
      <c r="AL68" s="2">
        <f>(AK68/515)*100</f>
        <v>79.223300970873794</v>
      </c>
      <c r="AM68" s="2" t="str">
        <f>IF(AL68&gt;=80, "A+", IF(AL68&gt;=70, "A", IF(AL68&gt;=60, "B", IF(AL68&gt;=50, "C", IF(AL68&gt;=40, "D", "FAIL")))))</f>
        <v>A</v>
      </c>
      <c r="AN68" s="2"/>
      <c r="AO68" s="2"/>
      <c r="AP68" s="2"/>
      <c r="AQ68" s="2"/>
      <c r="AR68" s="2"/>
      <c r="AS68" s="2"/>
      <c r="AT68" s="2"/>
      <c r="AU68" s="2"/>
    </row>
    <row r="69" spans="1:47" customFormat="1" x14ac:dyDescent="0.35">
      <c r="A69" s="6" t="s">
        <v>284</v>
      </c>
      <c r="B69" t="s">
        <v>285</v>
      </c>
      <c r="D69" s="2" t="s">
        <v>286</v>
      </c>
      <c r="E69" s="2" t="s">
        <v>69</v>
      </c>
      <c r="H69" s="30"/>
      <c r="I69" t="s">
        <v>79</v>
      </c>
      <c r="J69" t="str">
        <f>IF(AI69&gt;=80, "Outstanding achievement! You are a shining star of our class.", IF(AI69&gt;=70, "Impressive work! Your dedication is truly paying off.", IF(AI69&gt;=60, "Well done! You have great potential to achieve even more.", IF(AI69&gt;=50, "Good effort! A little more focus will lead to better results.", IF(AI69&gt;=40, "Don't lose heart! With extra hard work, you can improve.", "We believe in you! Let's work together for a strong comeback.")))))</f>
        <v>Well done! You have great potential to achieve even more.</v>
      </c>
      <c r="K69" s="5">
        <v>49.5</v>
      </c>
      <c r="L69" s="5">
        <v>26</v>
      </c>
      <c r="M69" s="5">
        <v>71.5</v>
      </c>
      <c r="U69" s="31"/>
      <c r="AG69" s="5">
        <v>65</v>
      </c>
      <c r="AH69" s="2">
        <f>SUM(K69:AG69)</f>
        <v>212</v>
      </c>
      <c r="AI69" s="2">
        <f>(AH69/325)*100</f>
        <v>65.230769230769226</v>
      </c>
      <c r="AJ69" s="2" t="str">
        <f>IF(AI69&gt;=80, "A+", IF(AI69&gt;=70, "A", IF(AI69&gt;=60, "B", IF(AI69&gt;=50, "C", IF(AI69&gt;=40, "D", "FAIL")))))</f>
        <v>B</v>
      </c>
    </row>
    <row r="70" spans="1:47" customFormat="1" x14ac:dyDescent="0.35">
      <c r="A70" s="6" t="s">
        <v>287</v>
      </c>
      <c r="B70" t="s">
        <v>288</v>
      </c>
      <c r="D70" s="2" t="s">
        <v>286</v>
      </c>
      <c r="E70" s="2" t="s">
        <v>69</v>
      </c>
      <c r="H70" s="30"/>
      <c r="I70" t="s">
        <v>79</v>
      </c>
      <c r="J70" t="str">
        <f>IF(AI70&gt;=80, "Outstanding achievement! You are a shining star of our class.", IF(AI70&gt;=70, "Impressive work! Your dedication is truly paying off.", IF(AI70&gt;=60, "Well done! You have great potential to achieve even more.", IF(AI70&gt;=50, "Good effort! A little more focus will lead to better results.", IF(AI70&gt;=40, "Don't lose heart! With extra hard work, you can improve.", "We believe in you! Let's work together for a strong comeback.")))))</f>
        <v>Well done! You have great potential to achieve even more.</v>
      </c>
      <c r="K70" s="5">
        <v>30</v>
      </c>
      <c r="L70" s="5">
        <v>51</v>
      </c>
      <c r="M70" s="5">
        <v>47</v>
      </c>
      <c r="U70" s="31"/>
      <c r="AG70" s="5">
        <v>86</v>
      </c>
      <c r="AH70" s="2">
        <f t="shared" ref="AH70:AH75" si="29">SUM(K70:AG70)</f>
        <v>214</v>
      </c>
      <c r="AI70" s="2">
        <f t="shared" ref="AI70:AI75" si="30">(AH70/325)*100</f>
        <v>65.84615384615384</v>
      </c>
      <c r="AJ70" s="2" t="str">
        <f t="shared" ref="AJ70:AJ75" si="31">IF(AI70&gt;=80, "A+", IF(AI70&gt;=70, "A", IF(AI70&gt;=60, "B", IF(AI70&gt;=50, "C", IF(AI70&gt;=40, "D", "FAIL")))))</f>
        <v>B</v>
      </c>
    </row>
    <row r="71" spans="1:47" customFormat="1" x14ac:dyDescent="0.35">
      <c r="A71" s="6" t="s">
        <v>289</v>
      </c>
      <c r="B71" s="32" t="s">
        <v>290</v>
      </c>
      <c r="C71" s="32" t="s">
        <v>291</v>
      </c>
      <c r="D71" s="2" t="s">
        <v>286</v>
      </c>
      <c r="E71" s="2" t="s">
        <v>69</v>
      </c>
      <c r="H71" s="30"/>
      <c r="I71" t="s">
        <v>79</v>
      </c>
      <c r="J71" t="str">
        <f t="shared" ref="J71:J74" si="32">IF(AI71&gt;=80, "Outstanding achievement! You are a shining star of our class.", IF(AI71&gt;=70, "Impressive work! Your dedication is truly paying off.", IF(AI71&gt;=60, "Well done! You have great potential to achieve even more.", IF(AI71&gt;=50, "Good effort! A little more focus will lead to better results.", IF(AI71&gt;=40, "Don't lose heart! With extra hard work, you can improve.", "We believe in you! Let's work together for a strong comeback.")))))</f>
        <v>Well done! You have great potential to achieve even more.</v>
      </c>
      <c r="K71" s="5">
        <v>44</v>
      </c>
      <c r="L71" s="5">
        <v>49</v>
      </c>
      <c r="M71" s="5">
        <v>36</v>
      </c>
      <c r="U71" s="31"/>
      <c r="AG71" s="5">
        <v>81</v>
      </c>
      <c r="AH71" s="2">
        <f t="shared" si="29"/>
        <v>210</v>
      </c>
      <c r="AI71" s="2">
        <f t="shared" si="30"/>
        <v>64.615384615384613</v>
      </c>
      <c r="AJ71" s="2" t="str">
        <f t="shared" si="31"/>
        <v>B</v>
      </c>
    </row>
    <row r="72" spans="1:47" customFormat="1" x14ac:dyDescent="0.35">
      <c r="A72" s="6" t="s">
        <v>292</v>
      </c>
      <c r="B72" s="32" t="s">
        <v>293</v>
      </c>
      <c r="C72" s="32" t="s">
        <v>291</v>
      </c>
      <c r="D72" s="2" t="s">
        <v>286</v>
      </c>
      <c r="E72" s="2" t="s">
        <v>69</v>
      </c>
      <c r="H72" s="30"/>
      <c r="I72" t="s">
        <v>79</v>
      </c>
      <c r="J72" t="str">
        <f t="shared" si="32"/>
        <v>Good effort! A little more focus will lead to better results.</v>
      </c>
      <c r="K72" s="5">
        <v>25</v>
      </c>
      <c r="L72" s="5">
        <v>30</v>
      </c>
      <c r="M72" s="5">
        <v>39</v>
      </c>
      <c r="U72" s="31"/>
      <c r="AG72" s="5">
        <v>79</v>
      </c>
      <c r="AH72" s="2">
        <f t="shared" si="29"/>
        <v>173</v>
      </c>
      <c r="AI72" s="2">
        <f t="shared" si="30"/>
        <v>53.230769230769226</v>
      </c>
      <c r="AJ72" s="2" t="str">
        <f t="shared" si="31"/>
        <v>C</v>
      </c>
    </row>
    <row r="73" spans="1:47" customFormat="1" x14ac:dyDescent="0.35">
      <c r="A73" s="6" t="s">
        <v>294</v>
      </c>
      <c r="B73" t="s">
        <v>295</v>
      </c>
      <c r="C73" t="s">
        <v>296</v>
      </c>
      <c r="D73" s="2" t="s">
        <v>286</v>
      </c>
      <c r="E73" s="2" t="s">
        <v>69</v>
      </c>
      <c r="H73" s="30"/>
      <c r="I73" t="s">
        <v>79</v>
      </c>
      <c r="J73" t="str">
        <f t="shared" si="32"/>
        <v>Don't lose heart! With extra hard work, you can improve.</v>
      </c>
      <c r="K73" s="5">
        <v>22</v>
      </c>
      <c r="L73" s="5"/>
      <c r="M73" s="5">
        <v>40</v>
      </c>
      <c r="U73" s="31"/>
      <c r="AG73" s="5">
        <v>83</v>
      </c>
      <c r="AH73" s="2">
        <f t="shared" si="29"/>
        <v>145</v>
      </c>
      <c r="AI73" s="2">
        <f t="shared" si="30"/>
        <v>44.61538461538462</v>
      </c>
      <c r="AJ73" s="2" t="str">
        <f t="shared" si="31"/>
        <v>D</v>
      </c>
    </row>
    <row r="74" spans="1:47" customFormat="1" x14ac:dyDescent="0.35">
      <c r="A74" s="6" t="s">
        <v>297</v>
      </c>
      <c r="B74" s="32" t="s">
        <v>298</v>
      </c>
      <c r="C74" s="32" t="s">
        <v>299</v>
      </c>
      <c r="D74" s="2" t="s">
        <v>286</v>
      </c>
      <c r="E74" s="2" t="s">
        <v>69</v>
      </c>
      <c r="F74" s="13" t="s">
        <v>300</v>
      </c>
      <c r="G74" s="10" t="s">
        <v>301</v>
      </c>
      <c r="H74" s="33">
        <v>43834</v>
      </c>
      <c r="I74" t="s">
        <v>79</v>
      </c>
      <c r="J74" t="str">
        <f t="shared" si="32"/>
        <v>Well done! You have great potential to achieve even more.</v>
      </c>
      <c r="K74" s="5">
        <v>35</v>
      </c>
      <c r="L74" s="5">
        <v>28</v>
      </c>
      <c r="M74" s="5">
        <v>48</v>
      </c>
      <c r="U74" s="31"/>
      <c r="AG74" s="5">
        <v>88</v>
      </c>
      <c r="AH74" s="2">
        <f t="shared" si="29"/>
        <v>199</v>
      </c>
      <c r="AI74" s="2">
        <f t="shared" si="30"/>
        <v>61.230769230769234</v>
      </c>
      <c r="AJ74" s="2" t="str">
        <f t="shared" si="31"/>
        <v>B</v>
      </c>
    </row>
    <row r="75" spans="1:47" customFormat="1" x14ac:dyDescent="0.35">
      <c r="D75" s="2"/>
      <c r="H75" s="30"/>
      <c r="K75" s="5"/>
      <c r="L75" s="5"/>
      <c r="M75" s="5"/>
      <c r="U75" s="31"/>
      <c r="AG75" s="5"/>
      <c r="AH75" s="2">
        <f t="shared" si="29"/>
        <v>0</v>
      </c>
      <c r="AI75" s="2">
        <f t="shared" si="30"/>
        <v>0</v>
      </c>
      <c r="AJ75" s="2" t="str">
        <f t="shared" si="31"/>
        <v>FAIL</v>
      </c>
    </row>
  </sheetData>
  <autoFilter ref="A1:CA68" xr:uid="{00000000-0001-0000-0000-000000000000}"/>
  <dataConsolidate/>
  <mergeCells count="1">
    <mergeCell ref="L23:M2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topLeftCell="A17" zoomScale="91" workbookViewId="0">
      <selection activeCell="H18" sqref="H18:K27"/>
    </sheetView>
  </sheetViews>
  <sheetFormatPr defaultRowHeight="15.5" x14ac:dyDescent="0.35"/>
  <sheetData>
    <row r="2" spans="2:14" x14ac:dyDescent="0.35">
      <c r="H2" t="s">
        <v>39</v>
      </c>
      <c r="J2" t="s">
        <v>39</v>
      </c>
    </row>
    <row r="3" spans="2:14" x14ac:dyDescent="0.35">
      <c r="B3" t="s">
        <v>40</v>
      </c>
      <c r="D3" t="s">
        <v>41</v>
      </c>
      <c r="F3" t="s">
        <v>42</v>
      </c>
      <c r="H3" t="s">
        <v>43</v>
      </c>
      <c r="J3" t="s">
        <v>44</v>
      </c>
      <c r="L3" t="s">
        <v>45</v>
      </c>
      <c r="N3" t="s">
        <v>46</v>
      </c>
    </row>
    <row r="4" spans="2:14" x14ac:dyDescent="0.35">
      <c r="B4" t="s">
        <v>47</v>
      </c>
      <c r="D4" t="s">
        <v>47</v>
      </c>
      <c r="F4" t="s">
        <v>47</v>
      </c>
      <c r="H4" t="s">
        <v>9</v>
      </c>
      <c r="J4" t="s">
        <v>9</v>
      </c>
      <c r="N4" t="s">
        <v>9</v>
      </c>
    </row>
    <row r="5" spans="2:14" x14ac:dyDescent="0.35">
      <c r="B5" t="s">
        <v>48</v>
      </c>
      <c r="D5" t="s">
        <v>48</v>
      </c>
      <c r="F5" t="s">
        <v>9</v>
      </c>
      <c r="H5" t="s">
        <v>11</v>
      </c>
      <c r="J5" t="s">
        <v>11</v>
      </c>
      <c r="L5" s="29" t="s">
        <v>49</v>
      </c>
      <c r="M5" s="29"/>
      <c r="N5" t="s">
        <v>11</v>
      </c>
    </row>
    <row r="6" spans="2:14" x14ac:dyDescent="0.35">
      <c r="B6" t="s">
        <v>9</v>
      </c>
      <c r="D6" t="s">
        <v>9</v>
      </c>
      <c r="F6" t="s">
        <v>11</v>
      </c>
      <c r="H6" t="s">
        <v>50</v>
      </c>
      <c r="J6" t="s">
        <v>50</v>
      </c>
      <c r="L6" s="29" t="s">
        <v>28</v>
      </c>
      <c r="M6" s="29"/>
      <c r="N6" t="s">
        <v>50</v>
      </c>
    </row>
    <row r="7" spans="2:14" x14ac:dyDescent="0.35">
      <c r="B7" t="s">
        <v>11</v>
      </c>
      <c r="D7" t="s">
        <v>11</v>
      </c>
      <c r="F7" t="s">
        <v>50</v>
      </c>
      <c r="H7" t="s">
        <v>16</v>
      </c>
      <c r="J7" t="s">
        <v>16</v>
      </c>
      <c r="L7" s="29" t="s">
        <v>29</v>
      </c>
      <c r="M7" s="29"/>
      <c r="N7" t="s">
        <v>48</v>
      </c>
    </row>
    <row r="8" spans="2:14" x14ac:dyDescent="0.35">
      <c r="B8" t="s">
        <v>50</v>
      </c>
      <c r="D8" t="s">
        <v>50</v>
      </c>
      <c r="F8" t="s">
        <v>14</v>
      </c>
      <c r="H8" t="s">
        <v>20</v>
      </c>
      <c r="J8" t="s">
        <v>20</v>
      </c>
      <c r="L8" s="29" t="s">
        <v>30</v>
      </c>
      <c r="M8" s="29"/>
      <c r="N8" t="s">
        <v>51</v>
      </c>
    </row>
    <row r="9" spans="2:14" x14ac:dyDescent="0.35">
      <c r="B9" t="s">
        <v>52</v>
      </c>
      <c r="D9" t="s">
        <v>52</v>
      </c>
      <c r="F9" t="s">
        <v>52</v>
      </c>
      <c r="H9" t="s">
        <v>21</v>
      </c>
      <c r="J9" t="s">
        <v>21</v>
      </c>
      <c r="L9" s="29" t="s">
        <v>31</v>
      </c>
      <c r="M9" s="29"/>
    </row>
    <row r="10" spans="2:14" x14ac:dyDescent="0.35">
      <c r="B10" t="s">
        <v>53</v>
      </c>
      <c r="D10" t="s">
        <v>54</v>
      </c>
      <c r="F10" t="s">
        <v>12</v>
      </c>
      <c r="H10" t="s">
        <v>55</v>
      </c>
      <c r="J10" t="s">
        <v>27</v>
      </c>
      <c r="L10" s="29" t="s">
        <v>32</v>
      </c>
      <c r="M10" s="29"/>
    </row>
    <row r="11" spans="2:14" x14ac:dyDescent="0.35">
      <c r="B11" t="s">
        <v>55</v>
      </c>
      <c r="D11" t="s">
        <v>56</v>
      </c>
      <c r="F11" t="s">
        <v>55</v>
      </c>
      <c r="H11" t="s">
        <v>27</v>
      </c>
      <c r="J11" t="s">
        <v>26</v>
      </c>
      <c r="L11" s="29" t="s">
        <v>33</v>
      </c>
      <c r="M11" s="29"/>
    </row>
    <row r="12" spans="2:14" x14ac:dyDescent="0.35">
      <c r="D12" t="s">
        <v>55</v>
      </c>
      <c r="F12" t="s">
        <v>48</v>
      </c>
      <c r="L12" s="29" t="s">
        <v>34</v>
      </c>
      <c r="M12" s="29"/>
    </row>
    <row r="13" spans="2:14" x14ac:dyDescent="0.35">
      <c r="L13" t="s">
        <v>48</v>
      </c>
    </row>
    <row r="18" spans="6:10" x14ac:dyDescent="0.35">
      <c r="F18" t="s">
        <v>57</v>
      </c>
      <c r="H18" t="s">
        <v>58</v>
      </c>
      <c r="J18" t="s">
        <v>58</v>
      </c>
    </row>
    <row r="19" spans="6:10" x14ac:dyDescent="0.35">
      <c r="F19" t="s">
        <v>59</v>
      </c>
      <c r="H19" t="s">
        <v>43</v>
      </c>
      <c r="J19" t="s">
        <v>60</v>
      </c>
    </row>
    <row r="20" spans="6:10" x14ac:dyDescent="0.35">
      <c r="F20" t="s">
        <v>9</v>
      </c>
      <c r="H20" t="s">
        <v>9</v>
      </c>
      <c r="J20" t="s">
        <v>9</v>
      </c>
    </row>
    <row r="21" spans="6:10" x14ac:dyDescent="0.35">
      <c r="F21" t="s">
        <v>11</v>
      </c>
      <c r="H21" t="s">
        <v>11</v>
      </c>
      <c r="J21" t="s">
        <v>11</v>
      </c>
    </row>
    <row r="22" spans="6:10" x14ac:dyDescent="0.35">
      <c r="F22" t="s">
        <v>50</v>
      </c>
      <c r="H22" t="s">
        <v>22</v>
      </c>
      <c r="J22" t="s">
        <v>22</v>
      </c>
    </row>
    <row r="23" spans="6:10" x14ac:dyDescent="0.35">
      <c r="F23" t="s">
        <v>52</v>
      </c>
      <c r="H23" t="s">
        <v>23</v>
      </c>
      <c r="J23" t="s">
        <v>23</v>
      </c>
    </row>
    <row r="24" spans="6:10" x14ac:dyDescent="0.35">
      <c r="F24" t="s">
        <v>25</v>
      </c>
      <c r="H24" t="s">
        <v>61</v>
      </c>
      <c r="J24" t="s">
        <v>61</v>
      </c>
    </row>
    <row r="25" spans="6:10" x14ac:dyDescent="0.35">
      <c r="F25" t="s">
        <v>26</v>
      </c>
      <c r="H25" t="s">
        <v>24</v>
      </c>
      <c r="J25" t="s">
        <v>24</v>
      </c>
    </row>
    <row r="26" spans="6:10" x14ac:dyDescent="0.35">
      <c r="F26" t="s">
        <v>55</v>
      </c>
      <c r="H26" t="s">
        <v>55</v>
      </c>
      <c r="J26" t="s">
        <v>27</v>
      </c>
    </row>
    <row r="27" spans="6:10" x14ac:dyDescent="0.35">
      <c r="F27" t="s">
        <v>27</v>
      </c>
      <c r="H27" t="s">
        <v>27</v>
      </c>
      <c r="J27" t="s">
        <v>26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 B27:N27 B26:I26 K26:N26 B11:N18 B10:I10 K10:N10 B4:N9 B3:G3 I3:N3 B20:N25 B19:G19 I19:N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2026-03-26T08:18:40Z</dcterms:modified>
</cp:coreProperties>
</file>